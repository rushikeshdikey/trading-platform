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rades" sheetId="1" r:id="rId5"/>
    <sheet state="visible" name="DDashboard" sheetId="2" r:id="rId6"/>
    <sheet state="visible" name="PoSize" sheetId="3" r:id="rId7"/>
    <sheet state="visible" name="MasterList" sheetId="4" r:id="rId8"/>
    <sheet state="visible" name="Guide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L1">
      <text>
        <t xml:space="preserve">R multiple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Mention funds added/withdrawn</t>
      </text>
    </comment>
    <comment authorId="0" ref="E16">
      <text>
        <t xml:space="preserve">You can edit this number.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Edit this according to your risk appetite</t>
      </text>
    </comment>
    <comment authorId="0" ref="L6">
      <text>
        <t xml:space="preserve">Edit this according to your risk appetite</t>
      </text>
    </comment>
  </commentList>
</comments>
</file>

<file path=xl/sharedStrings.xml><?xml version="1.0" encoding="utf-8"?>
<sst xmlns="http://schemas.openxmlformats.org/spreadsheetml/2006/main" count="433" uniqueCount="213">
  <si>
    <t>Trade
No.</t>
  </si>
  <si>
    <t>Date</t>
  </si>
  <si>
    <t>Instrument</t>
  </si>
  <si>
    <t>Strike</t>
  </si>
  <si>
    <t>Type</t>
  </si>
  <si>
    <t>Entry</t>
  </si>
  <si>
    <t>Avg
Entry</t>
  </si>
  <si>
    <t>SL</t>
  </si>
  <si>
    <t>TSL</t>
  </si>
  <si>
    <t>Buy/
Sell</t>
  </si>
  <si>
    <t>CMP</t>
  </si>
  <si>
    <t>Setup</t>
  </si>
  <si>
    <t>Base
 Duration</t>
  </si>
  <si>
    <t>Initial
QTY</t>
  </si>
  <si>
    <t>Pyramid-1
Price</t>
  </si>
  <si>
    <t>P-1
QTY</t>
  </si>
  <si>
    <t>P-1
Date</t>
  </si>
  <si>
    <t>Pyramid-2
Price</t>
  </si>
  <si>
    <t>P-2
QTY</t>
  </si>
  <si>
    <t>P-2
Date</t>
  </si>
  <si>
    <t>Position
Size</t>
  </si>
  <si>
    <t>Allocation</t>
  </si>
  <si>
    <t>SL %</t>
  </si>
  <si>
    <t>Exit-1
Price</t>
  </si>
  <si>
    <t>Exit-1
Qty</t>
  </si>
  <si>
    <t>Exit-2
Price</t>
  </si>
  <si>
    <t>Exit-2
Qty</t>
  </si>
  <si>
    <t>Exit-3
Price</t>
  </si>
  <si>
    <t>Exit-3
Qty</t>
  </si>
  <si>
    <t>Open 
QTY</t>
  </si>
  <si>
    <t>Exited
Qty</t>
  </si>
  <si>
    <t>Avg.
Exit
Price</t>
  </si>
  <si>
    <t>Stock
Move</t>
  </si>
  <si>
    <t>Open Heat</t>
  </si>
  <si>
    <t>Reward:
Risk</t>
  </si>
  <si>
    <t>Holding
 Days</t>
  </si>
  <si>
    <t>Position
Status</t>
  </si>
  <si>
    <t>Close date</t>
  </si>
  <si>
    <t>Realised
Amount</t>
  </si>
  <si>
    <t>P/L
Rs</t>
  </si>
  <si>
    <t>PF
Impact</t>
  </si>
  <si>
    <t xml:space="preserve">Cumm
pf </t>
  </si>
  <si>
    <t>Plan 
Followed?</t>
  </si>
  <si>
    <t>Exit Trigger</t>
  </si>
  <si>
    <t>Proficiency</t>
  </si>
  <si>
    <t>Growth Areas</t>
  </si>
  <si>
    <t>Any other Observations</t>
  </si>
  <si>
    <t>IMFA</t>
  </si>
  <si>
    <t>B</t>
  </si>
  <si>
    <t>No Setup</t>
  </si>
  <si>
    <t>3-4 M</t>
  </si>
  <si>
    <t>Small SL</t>
  </si>
  <si>
    <t>Late Entry</t>
  </si>
  <si>
    <t>RPOWER</t>
  </si>
  <si>
    <t>Market Pressure</t>
  </si>
  <si>
    <t>Exited in Strength</t>
  </si>
  <si>
    <t>AMBER</t>
  </si>
  <si>
    <t>Trendline</t>
  </si>
  <si>
    <t>5-6 M</t>
  </si>
  <si>
    <t>Emotional</t>
  </si>
  <si>
    <t>Good Entry</t>
  </si>
  <si>
    <t>Poor Exit</t>
  </si>
  <si>
    <t>63MOONS</t>
  </si>
  <si>
    <t>Flag</t>
  </si>
  <si>
    <t>2 W</t>
  </si>
  <si>
    <t>Protected Breakeven</t>
  </si>
  <si>
    <t>Shifted SL Quickly</t>
  </si>
  <si>
    <t>TRANSRAILL</t>
  </si>
  <si>
    <t>IPO base</t>
  </si>
  <si>
    <t>Illogical SL</t>
  </si>
  <si>
    <t>This was big size trade which closed at New ATH on same day</t>
  </si>
  <si>
    <t>DIGITIDE</t>
  </si>
  <si>
    <t>1 M</t>
  </si>
  <si>
    <t>Too Tight SL</t>
  </si>
  <si>
    <t>WAAREEENER</t>
  </si>
  <si>
    <t>Lack of Patience</t>
  </si>
  <si>
    <t>METAINFO</t>
  </si>
  <si>
    <t>Shakeout</t>
  </si>
  <si>
    <t>LTFOODS</t>
  </si>
  <si>
    <t>Base on Base</t>
  </si>
  <si>
    <t>SUBROS</t>
  </si>
  <si>
    <t>Low Cheat</t>
  </si>
  <si>
    <t>FOMO</t>
  </si>
  <si>
    <t>BALRAMCHIN</t>
  </si>
  <si>
    <t>OSHL</t>
  </si>
  <si>
    <t>6-8 M</t>
  </si>
  <si>
    <t>OMAXE</t>
  </si>
  <si>
    <t>2 M</t>
  </si>
  <si>
    <t>CRIZAC</t>
  </si>
  <si>
    <t>&lt;1 W</t>
  </si>
  <si>
    <t>Overtrading</t>
  </si>
  <si>
    <t>LTTS</t>
  </si>
  <si>
    <t>EP</t>
  </si>
  <si>
    <t>Breakeven exit</t>
  </si>
  <si>
    <t>POWERINDIA</t>
  </si>
  <si>
    <t>NUVOCO</t>
  </si>
  <si>
    <t>EIEL</t>
  </si>
  <si>
    <t>DIXON</t>
  </si>
  <si>
    <t>News/Events based</t>
  </si>
  <si>
    <t>Well Managed</t>
  </si>
  <si>
    <t>JKCEMENT</t>
  </si>
  <si>
    <t>Target</t>
  </si>
  <si>
    <t>IDEAFORGE</t>
  </si>
  <si>
    <t>S</t>
  </si>
  <si>
    <t>Random</t>
  </si>
  <si>
    <t>PAYTM</t>
  </si>
  <si>
    <t>SHYAMMETL</t>
  </si>
  <si>
    <t>COFORGE</t>
  </si>
  <si>
    <t>POCL</t>
  </si>
  <si>
    <t>CYIENT</t>
  </si>
  <si>
    <t>Setup Failed</t>
  </si>
  <si>
    <t>DIXON AUG 17000</t>
  </si>
  <si>
    <t>CE</t>
  </si>
  <si>
    <t>DIXON!2</t>
  </si>
  <si>
    <t>RAJOOENG</t>
  </si>
  <si>
    <t>SMARTWORKS</t>
  </si>
  <si>
    <t>DANISH</t>
  </si>
  <si>
    <t>MAHSEAMLES</t>
  </si>
  <si>
    <t>MBEL</t>
  </si>
  <si>
    <t>EBGNG</t>
  </si>
  <si>
    <t>MODEFENCE</t>
  </si>
  <si>
    <t>Time-based</t>
  </si>
  <si>
    <t>HBLENGINE</t>
  </si>
  <si>
    <t>POEL</t>
  </si>
  <si>
    <t>ALPEXSOLAR</t>
  </si>
  <si>
    <t>SHREEPUSHK</t>
  </si>
  <si>
    <t>Month</t>
  </si>
  <si>
    <t>Added/
Withdrawn</t>
  </si>
  <si>
    <t>Starting
 capital</t>
  </si>
  <si>
    <t>P/L</t>
  </si>
  <si>
    <t>Charges</t>
  </si>
  <si>
    <t>Final 
capital</t>
  </si>
  <si>
    <t>Year 
P/L</t>
  </si>
  <si>
    <t>No. of
Trades</t>
  </si>
  <si>
    <t>% Win</t>
  </si>
  <si>
    <t>Avg
 Gain</t>
  </si>
  <si>
    <t>Avg
 Loss</t>
  </si>
  <si>
    <t>Avg
 R:R</t>
  </si>
  <si>
    <t>Best 
Impact</t>
  </si>
  <si>
    <t>Worst
Impact</t>
  </si>
  <si>
    <t>Avg Holding
 Days</t>
  </si>
  <si>
    <t>F&amp;O</t>
  </si>
  <si>
    <t>Jan</t>
  </si>
  <si>
    <t>Total Trades</t>
  </si>
  <si>
    <t>Feb</t>
  </si>
  <si>
    <t>Win %</t>
  </si>
  <si>
    <t>Mar</t>
  </si>
  <si>
    <t>Avg + move</t>
  </si>
  <si>
    <t>Apr</t>
  </si>
  <si>
    <t>Avg - move</t>
  </si>
  <si>
    <t>May</t>
  </si>
  <si>
    <t>Avg Position Size</t>
  </si>
  <si>
    <t>June</t>
  </si>
  <si>
    <t>Avg Holding Days</t>
  </si>
  <si>
    <t>Jul</t>
  </si>
  <si>
    <t>Plan Followed</t>
  </si>
  <si>
    <t>Aug</t>
  </si>
  <si>
    <t>Stock</t>
  </si>
  <si>
    <t>Sep</t>
  </si>
  <si>
    <t>Best Move</t>
  </si>
  <si>
    <t>Oct</t>
  </si>
  <si>
    <t>Worst Move</t>
  </si>
  <si>
    <t>Nov</t>
  </si>
  <si>
    <t>Best pf Impact</t>
  </si>
  <si>
    <t>Dec</t>
  </si>
  <si>
    <t>Worst pf Impact</t>
  </si>
  <si>
    <t>Avg R</t>
  </si>
  <si>
    <t>Open Positions</t>
  </si>
  <si>
    <t>Statistics of the last</t>
  </si>
  <si>
    <t>👈</t>
  </si>
  <si>
    <t>Cash</t>
  </si>
  <si>
    <t>Avg Gain</t>
  </si>
  <si>
    <t>Avg Loss</t>
  </si>
  <si>
    <t>Avg Po Size</t>
  </si>
  <si>
    <t>R-multiple</t>
  </si>
  <si>
    <t>Non Editable</t>
  </si>
  <si>
    <t>Editable</t>
  </si>
  <si>
    <r>
      <rPr>
        <rFont val="Comfortaa"/>
        <b/>
        <color theme="1"/>
      </rPr>
      <t xml:space="preserve">QTY to buy according to the </t>
    </r>
    <r>
      <rPr>
        <rFont val="Comfortaa"/>
        <b/>
        <i/>
        <color theme="1"/>
      </rPr>
      <t>'</t>
    </r>
    <r>
      <rPr>
        <rFont val="Comfortaa"/>
        <b/>
        <i/>
        <color theme="1"/>
        <u/>
      </rPr>
      <t>Risk on Capital</t>
    </r>
    <r>
      <rPr>
        <rFont val="Comfortaa"/>
        <b/>
        <i/>
        <color theme="1"/>
      </rPr>
      <t>'</t>
    </r>
  </si>
  <si>
    <r>
      <rPr>
        <rFont val="Comfortaa"/>
        <b/>
        <color theme="1"/>
      </rPr>
      <t>QTY to buy according to the</t>
    </r>
    <r>
      <rPr>
        <rFont val="Comfortaa"/>
        <b/>
        <i/>
        <color theme="1"/>
      </rPr>
      <t xml:space="preserve"> '</t>
    </r>
    <r>
      <rPr>
        <rFont val="Comfortaa"/>
        <b/>
        <i/>
        <color theme="1"/>
        <u/>
      </rPr>
      <t>Allocation</t>
    </r>
    <r>
      <rPr>
        <rFont val="Comfortaa"/>
        <b/>
        <i/>
        <color theme="1"/>
      </rPr>
      <t>'</t>
    </r>
  </si>
  <si>
    <t>Capital</t>
  </si>
  <si>
    <t>👉🏻</t>
  </si>
  <si>
    <t>Risk on capital</t>
  </si>
  <si>
    <t>Entry Price</t>
  </si>
  <si>
    <t>QTY to buy</t>
  </si>
  <si>
    <t>Emotional Control</t>
  </si>
  <si>
    <t>Biased Analysis</t>
  </si>
  <si>
    <t>Booked Early</t>
  </si>
  <si>
    <t>Didn't Book Loss</t>
  </si>
  <si>
    <t>R multiples</t>
  </si>
  <si>
    <t>Good Trailing</t>
  </si>
  <si>
    <t>Rejection</t>
  </si>
  <si>
    <t>Illiquid Stock</t>
  </si>
  <si>
    <t>VCP</t>
  </si>
  <si>
    <t>Trailing SL</t>
  </si>
  <si>
    <t>Momentum-less stock</t>
  </si>
  <si>
    <t>Overconfidence</t>
  </si>
  <si>
    <t>Poor Execution</t>
  </si>
  <si>
    <t>Poor Po Size</t>
  </si>
  <si>
    <t>Poor Sector</t>
  </si>
  <si>
    <t>Poor Stock</t>
  </si>
  <si>
    <t>Too Early Entry</t>
  </si>
  <si>
    <t>Here are some refined guidelines for utilizing this Trading Journal effectively:</t>
  </si>
  <si>
    <r>
      <rPr>
        <rFont val="Montserrat"/>
        <color theme="1"/>
      </rPr>
      <t>To use this, go to '</t>
    </r>
    <r>
      <rPr>
        <rFont val="Montserrat"/>
        <b/>
        <i/>
        <color theme="1"/>
      </rPr>
      <t>File</t>
    </r>
    <r>
      <rPr>
        <rFont val="Montserrat"/>
        <color theme="1"/>
      </rPr>
      <t xml:space="preserve">' and </t>
    </r>
    <r>
      <rPr>
        <rFont val="Montserrat"/>
        <b/>
        <i/>
        <color theme="1"/>
      </rPr>
      <t xml:space="preserve">'Make a Copy' </t>
    </r>
    <r>
      <rPr>
        <rFont val="Montserrat"/>
        <color theme="1"/>
      </rPr>
      <t>and then delete data where the formula is not mentioned.</t>
    </r>
  </si>
  <si>
    <r>
      <rPr>
        <rFont val="Montserrat"/>
        <color theme="1"/>
      </rPr>
      <t xml:space="preserve">Don't download. Use online only. </t>
    </r>
    <r>
      <rPr>
        <rFont val="Montserrat"/>
        <b/>
        <i/>
        <color theme="1"/>
      </rPr>
      <t>Don't send 'edit requests'</t>
    </r>
  </si>
  <si>
    <r>
      <rPr>
        <rFont val="Montserrat"/>
        <color theme="1"/>
      </rPr>
      <t xml:space="preserve">Record your initial capital in </t>
    </r>
    <r>
      <rPr>
        <rFont val="Montserrat"/>
        <b/>
        <color theme="1"/>
      </rPr>
      <t>column C</t>
    </r>
    <r>
      <rPr>
        <rFont val="Montserrat"/>
        <color theme="1"/>
      </rPr>
      <t xml:space="preserve"> of the </t>
    </r>
    <r>
      <rPr>
        <rFont val="Montserrat"/>
        <b/>
        <color theme="1"/>
      </rPr>
      <t>'</t>
    </r>
    <r>
      <rPr>
        <rFont val="Montserrat"/>
        <b/>
        <color theme="1"/>
        <u/>
      </rPr>
      <t>DDashboard</t>
    </r>
    <r>
      <rPr>
        <rFont val="Montserrat"/>
        <b/>
        <color theme="1"/>
      </rPr>
      <t>'</t>
    </r>
    <r>
      <rPr>
        <rFont val="Montserrat"/>
        <color theme="1"/>
      </rPr>
      <t xml:space="preserve"> sheet.</t>
    </r>
  </si>
  <si>
    <r>
      <rPr>
        <rFont val="Montserrat"/>
        <color theme="1"/>
      </rPr>
      <t xml:space="preserve">Log all trades in the </t>
    </r>
    <r>
      <rPr>
        <rFont val="Montserrat"/>
        <b/>
        <color theme="1"/>
      </rPr>
      <t>'D</t>
    </r>
    <r>
      <rPr>
        <rFont val="Montserrat"/>
        <b/>
        <color theme="1"/>
        <u/>
      </rPr>
      <t>Trades</t>
    </r>
    <r>
      <rPr>
        <rFont val="Montserrat"/>
        <b/>
        <color theme="1"/>
      </rPr>
      <t>'</t>
    </r>
    <r>
      <rPr>
        <rFont val="Montserrat"/>
        <color theme="1"/>
      </rPr>
      <t xml:space="preserve"> sheet with precision.</t>
    </r>
  </si>
  <si>
    <r>
      <rPr>
        <rFont val="Montserrat"/>
        <color theme="1"/>
      </rPr>
      <t xml:space="preserve">Use consistent </t>
    </r>
    <r>
      <rPr>
        <rFont val="Montserrat"/>
        <b/>
        <i/>
        <color theme="1"/>
      </rPr>
      <t xml:space="preserve">date formats </t>
    </r>
    <r>
      <rPr>
        <rFont val="Montserrat"/>
        <color theme="1"/>
      </rPr>
      <t>throughout the journal.</t>
    </r>
  </si>
  <si>
    <t>Verify ticker names via the NSE website.</t>
  </si>
  <si>
    <r>
      <rPr>
        <rFont val="Montserrat"/>
        <color theme="1"/>
      </rPr>
      <t xml:space="preserve">Use the </t>
    </r>
    <r>
      <rPr>
        <rFont val="Montserrat"/>
        <b/>
        <color theme="1"/>
      </rPr>
      <t>'</t>
    </r>
    <r>
      <rPr>
        <rFont val="Montserrat"/>
        <b/>
        <color theme="1"/>
        <u/>
      </rPr>
      <t>PoSize</t>
    </r>
    <r>
      <rPr>
        <rFont val="Montserrat"/>
        <b/>
        <color theme="1"/>
      </rPr>
      <t>'</t>
    </r>
    <r>
      <rPr>
        <rFont val="Montserrat"/>
        <color theme="1"/>
      </rPr>
      <t xml:space="preserve"> sheet to calculate the optimal trade quantity.</t>
    </r>
  </si>
  <si>
    <r>
      <rPr>
        <rFont val="Montserrat"/>
        <color theme="1"/>
      </rPr>
      <t xml:space="preserve">Enter key trade details: </t>
    </r>
    <r>
      <rPr>
        <rFont val="Montserrat"/>
        <b/>
        <color theme="1"/>
      </rPr>
      <t xml:space="preserve">Date, </t>
    </r>
    <r>
      <rPr>
        <rFont val="Montserrat"/>
        <b/>
        <i/>
        <color theme="1"/>
      </rPr>
      <t xml:space="preserve">Quantity (QTY), Stop Loss (SL), Exit Price, Exit Quantity, </t>
    </r>
    <r>
      <rPr>
        <rFont val="Montserrat"/>
        <b/>
        <color theme="1"/>
      </rPr>
      <t xml:space="preserve">and </t>
    </r>
    <r>
      <rPr>
        <rFont val="Montserrat"/>
        <b/>
        <i/>
        <color theme="1"/>
      </rPr>
      <t>Exit Date.</t>
    </r>
  </si>
  <si>
    <t>Let automated calculations manage the rest.</t>
  </si>
  <si>
    <r>
      <rPr>
        <rFont val="Montserrat"/>
        <color theme="1"/>
      </rPr>
      <t>Enhance insights by selecting '</t>
    </r>
    <r>
      <rPr>
        <rFont val="Montserrat"/>
        <b/>
        <color theme="1"/>
      </rPr>
      <t xml:space="preserve">Proficiency' </t>
    </r>
    <r>
      <rPr>
        <rFont val="Montserrat"/>
        <color theme="1"/>
      </rPr>
      <t xml:space="preserve">and </t>
    </r>
    <r>
      <rPr>
        <rFont val="Montserrat"/>
        <b/>
        <color theme="1"/>
      </rPr>
      <t>'Growth areas'</t>
    </r>
    <r>
      <rPr>
        <rFont val="Montserrat"/>
        <color theme="1"/>
      </rPr>
      <t xml:space="preserve"> from dropdown menus for each trade.</t>
    </r>
  </si>
  <si>
    <r>
      <rPr>
        <rFont val="Montserrat"/>
        <color theme="1"/>
      </rPr>
      <t xml:space="preserve">Adjust the number in cell </t>
    </r>
    <r>
      <rPr>
        <rFont val="Montserrat"/>
        <b/>
        <i/>
        <color theme="1"/>
      </rPr>
      <t xml:space="preserve">E16 </t>
    </r>
    <r>
      <rPr>
        <rFont val="Montserrat"/>
        <color theme="1"/>
      </rPr>
      <t xml:space="preserve">of the </t>
    </r>
    <r>
      <rPr>
        <rFont val="Montserrat"/>
        <b/>
        <color theme="1"/>
      </rPr>
      <t>'</t>
    </r>
    <r>
      <rPr>
        <rFont val="Montserrat"/>
        <b/>
        <color theme="1"/>
        <u/>
      </rPr>
      <t>DDashboard</t>
    </r>
    <r>
      <rPr>
        <rFont val="Montserrat"/>
        <b/>
        <color theme="1"/>
      </rPr>
      <t>'</t>
    </r>
    <r>
      <rPr>
        <rFont val="Montserrat"/>
        <color theme="1"/>
      </rPr>
      <t xml:space="preserve"> sheet to customize your trade statistics.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</si>
</sst>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"/>
    <numFmt numFmtId="165" formatCode="[$₹]#,##0.00"/>
    <numFmt numFmtId="166" formatCode="d&quot;-&quot;mmm&quot;-&quot;yy"/>
    <numFmt numFmtId="167" formatCode="&quot;$&quot;#,##0.00"/>
    <numFmt numFmtId="168" formatCode="d mmm"/>
    <numFmt numFmtId="169" formatCode="#,##0.0"/>
    <numFmt numFmtId="170" formatCode="d-mmm"/>
    <numFmt numFmtId="171" formatCode="d mmmm"/>
    <numFmt numFmtId="172" formatCode="[$₹]#,##0"/>
    <numFmt numFmtId="173" formatCode="0.0%"/>
  </numFmts>
  <fonts count="22">
    <font>
      <sz val="10.0"/>
      <color rgb="FF000000"/>
      <name val="Arial"/>
      <scheme val="minor"/>
    </font>
    <font>
      <b/>
      <sz val="11.0"/>
      <color theme="1"/>
      <name val="Comfortaa"/>
    </font>
    <font>
      <b/>
      <sz val="11.0"/>
      <color rgb="FF4A86E8"/>
      <name val="Comfortaa"/>
    </font>
    <font>
      <b/>
      <sz val="11.0"/>
      <color rgb="FFFFFFFF"/>
      <name val="Comfortaa"/>
    </font>
    <font>
      <b/>
      <color theme="1"/>
      <name val="Comfortaa"/>
    </font>
    <font>
      <color theme="1"/>
      <name val="Comfortaa"/>
    </font>
    <font>
      <color theme="1"/>
      <name val="Arial"/>
    </font>
    <font>
      <i/>
      <color theme="1"/>
      <name val="Comfortaa"/>
    </font>
    <font>
      <color rgb="FF4A86E8"/>
      <name val="Comfortaa"/>
    </font>
    <font>
      <sz val="9.0"/>
      <color theme="1"/>
      <name val="Comfortaa"/>
    </font>
    <font>
      <b/>
      <color rgb="FF000000"/>
      <name val="Comfortaa"/>
    </font>
    <font>
      <sz val="11.0"/>
      <color rgb="FF444444"/>
      <name val="&quot;Open Sans&quot;"/>
    </font>
    <font>
      <color theme="1"/>
      <name val="Arial"/>
      <scheme val="minor"/>
    </font>
    <font>
      <b/>
      <color theme="1"/>
      <name val="Montserrat"/>
    </font>
    <font>
      <color theme="1"/>
      <name val="Montserrat"/>
    </font>
    <font>
      <b/>
      <i/>
      <color theme="1"/>
      <name val="Montserrat"/>
    </font>
    <font>
      <color rgb="FF000000"/>
      <name val="Montserrat"/>
    </font>
    <font>
      <b/>
      <color rgb="FF000000"/>
      <name val="Montserrat"/>
    </font>
    <font/>
    <font>
      <b/>
      <i/>
      <color rgb="FF000000"/>
      <name val="Montserrat"/>
    </font>
    <font>
      <sz val="13.0"/>
      <color theme="1"/>
      <name val="Arial"/>
      <scheme val="minor"/>
    </font>
    <font>
      <b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A2C4C9"/>
        <bgColor rgb="FFA2C4C9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F8F8F8"/>
        <bgColor rgb="FFF8F8F8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3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</border>
    <border>
      <left style="thin">
        <color rgb="FF000000"/>
      </left>
    </border>
    <border>
      <right style="medium">
        <color rgb="FF000000"/>
      </right>
    </border>
    <border>
      <right style="thin">
        <color rgb="FFF1F1F1"/>
      </right>
      <top style="thin">
        <color rgb="FFF1F1F1"/>
      </top>
      <bottom style="thin">
        <color rgb="FFF1F1F1"/>
      </bottom>
    </border>
    <border>
      <top style="thin">
        <color rgb="FFF1F1F1"/>
      </top>
      <bottom style="thin">
        <color rgb="FFF1F1F1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4" fillId="3" fontId="1" numFmtId="2" xfId="0" applyAlignment="1" applyBorder="1" applyFill="1" applyFont="1" applyNumberFormat="1">
      <alignment horizontal="center" readingOrder="0" vertical="center"/>
    </xf>
    <xf borderId="3" fillId="3" fontId="1" numFmtId="164" xfId="0" applyAlignment="1" applyBorder="1" applyFont="1" applyNumberFormat="1">
      <alignment horizontal="center" vertical="center"/>
    </xf>
    <xf borderId="3" fillId="3" fontId="1" numFmtId="0" xfId="0" applyAlignment="1" applyBorder="1" applyFont="1">
      <alignment horizontal="right" readingOrder="0" vertical="center"/>
    </xf>
    <xf borderId="3" fillId="3" fontId="1" numFmtId="0" xfId="0" applyAlignment="1" applyBorder="1" applyFont="1">
      <alignment horizontal="center" readingOrder="0" vertical="center"/>
    </xf>
    <xf borderId="3" fillId="3" fontId="2" numFmtId="165" xfId="0" applyAlignment="1" applyBorder="1" applyFont="1" applyNumberFormat="1">
      <alignment horizontal="left" readingOrder="0" vertical="center"/>
    </xf>
    <xf borderId="5" fillId="3" fontId="1" numFmtId="0" xfId="0" applyAlignment="1" applyBorder="1" applyFont="1">
      <alignment horizontal="center" readingOrder="0" vertical="center"/>
    </xf>
    <xf borderId="5" fillId="3" fontId="3" numFmtId="0" xfId="0" applyAlignment="1" applyBorder="1" applyFont="1">
      <alignment horizontal="center" readingOrder="0" vertical="center"/>
    </xf>
    <xf borderId="5" fillId="3" fontId="3" numFmtId="2" xfId="0" applyAlignment="1" applyBorder="1" applyFont="1" applyNumberFormat="1">
      <alignment horizontal="center" vertical="center"/>
    </xf>
    <xf borderId="3" fillId="3" fontId="3" numFmtId="1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5" fillId="3" fontId="1" numFmtId="1" xfId="0" applyAlignment="1" applyBorder="1" applyFont="1" applyNumberFormat="1">
      <alignment horizontal="center" vertical="center"/>
    </xf>
    <xf borderId="3" fillId="3" fontId="1" numFmtId="10" xfId="0" applyAlignment="1" applyBorder="1" applyFont="1" applyNumberFormat="1">
      <alignment horizontal="center" vertical="center"/>
    </xf>
    <xf borderId="6" fillId="3" fontId="1" numFmtId="0" xfId="0" applyAlignment="1" applyBorder="1" applyFont="1">
      <alignment horizontal="center" readingOrder="0" vertical="center"/>
    </xf>
    <xf borderId="3" fillId="4" fontId="1" numFmtId="165" xfId="0" applyAlignment="1" applyBorder="1" applyFill="1" applyFont="1" applyNumberFormat="1">
      <alignment horizontal="center" readingOrder="0" vertical="center"/>
    </xf>
    <xf borderId="3" fillId="4" fontId="3" numFmtId="1" xfId="0" applyAlignment="1" applyBorder="1" applyFont="1" applyNumberFormat="1">
      <alignment horizontal="center" readingOrder="0" vertical="center"/>
    </xf>
    <xf borderId="2" fillId="4" fontId="1" numFmtId="0" xfId="0" applyAlignment="1" applyBorder="1" applyFont="1">
      <alignment horizontal="center" readingOrder="0" vertical="center"/>
    </xf>
    <xf borderId="3" fillId="4" fontId="1" numFmtId="0" xfId="0" applyAlignment="1" applyBorder="1" applyFont="1">
      <alignment horizontal="center" readingOrder="0" vertical="center"/>
    </xf>
    <xf borderId="5" fillId="4" fontId="1" numFmtId="165" xfId="0" applyAlignment="1" applyBorder="1" applyFont="1" applyNumberFormat="1">
      <alignment horizontal="center" readingOrder="0" vertical="center"/>
    </xf>
    <xf borderId="4" fillId="2" fontId="1" numFmtId="0" xfId="0" applyAlignment="1" applyBorder="1" applyFont="1">
      <alignment horizontal="center" vertical="center"/>
    </xf>
    <xf borderId="3" fillId="2" fontId="1" numFmtId="4" xfId="0" applyAlignment="1" applyBorder="1" applyFont="1" applyNumberFormat="1">
      <alignment horizontal="center" readingOrder="0" vertical="center"/>
    </xf>
    <xf borderId="3" fillId="2" fontId="1" numFmtId="0" xfId="0" applyAlignment="1" applyBorder="1" applyFont="1">
      <alignment horizontal="center" readingOrder="0" shrinkToFit="0" vertical="center" wrapText="1"/>
    </xf>
    <xf borderId="3" fillId="2" fontId="1" numFmtId="3" xfId="0" applyAlignment="1" applyBorder="1" applyFont="1" applyNumberFormat="1">
      <alignment horizontal="center" readingOrder="0" vertical="center"/>
    </xf>
    <xf borderId="4" fillId="5" fontId="1" numFmtId="1" xfId="0" applyAlignment="1" applyBorder="1" applyFill="1" applyFont="1" applyNumberFormat="1">
      <alignment horizontal="center" readingOrder="0" vertical="center"/>
    </xf>
    <xf borderId="3" fillId="5" fontId="1" numFmtId="1" xfId="0" applyAlignment="1" applyBorder="1" applyFont="1" applyNumberFormat="1">
      <alignment horizontal="center" readingOrder="0" vertical="center"/>
    </xf>
    <xf borderId="6" fillId="5" fontId="1" numFmtId="10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6" fontId="4" numFmtId="0" xfId="0" applyAlignment="1" applyFill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7" fillId="7" fontId="5" numFmtId="0" xfId="0" applyAlignment="1" applyBorder="1" applyFill="1" applyFont="1">
      <alignment horizontal="center" readingOrder="0"/>
    </xf>
    <xf borderId="7" fillId="7" fontId="5" numFmtId="166" xfId="0" applyAlignment="1" applyBorder="1" applyFont="1" applyNumberFormat="1">
      <alignment horizontal="center" readingOrder="0"/>
    </xf>
    <xf borderId="0" fillId="7" fontId="4" numFmtId="0" xfId="0" applyAlignment="1" applyFont="1">
      <alignment readingOrder="0"/>
    </xf>
    <xf borderId="0" fillId="7" fontId="6" numFmtId="2" xfId="0" applyFont="1" applyNumberFormat="1"/>
    <xf borderId="0" fillId="7" fontId="6" numFmtId="0" xfId="0" applyFont="1"/>
    <xf borderId="8" fillId="7" fontId="7" numFmtId="2" xfId="0" applyAlignment="1" applyBorder="1" applyFont="1" applyNumberFormat="1">
      <alignment horizontal="center" readingOrder="0"/>
    </xf>
    <xf borderId="0" fillId="7" fontId="7" numFmtId="164" xfId="0" applyAlignment="1" applyFont="1" applyNumberFormat="1">
      <alignment horizontal="center"/>
    </xf>
    <xf borderId="0" fillId="7" fontId="7" numFmtId="0" xfId="0" applyAlignment="1" applyFont="1">
      <alignment horizontal="right" readingOrder="0"/>
    </xf>
    <xf borderId="0" fillId="7" fontId="7" numFmtId="0" xfId="0" applyAlignment="1" applyFont="1">
      <alignment horizontal="center"/>
    </xf>
    <xf borderId="0" fillId="7" fontId="8" numFmtId="165" xfId="0" applyAlignment="1" applyFont="1" applyNumberFormat="1">
      <alignment horizontal="left"/>
    </xf>
    <xf borderId="9" fillId="7" fontId="5" numFmtId="167" xfId="0" applyAlignment="1" applyBorder="1" applyFont="1" applyNumberFormat="1">
      <alignment readingOrder="0"/>
    </xf>
    <xf borderId="0" fillId="7" fontId="5" numFmtId="167" xfId="0" applyFont="1" applyNumberFormat="1"/>
    <xf borderId="9" fillId="7" fontId="7" numFmtId="1" xfId="0" applyAlignment="1" applyBorder="1" applyFont="1" applyNumberFormat="1">
      <alignment horizontal="center" readingOrder="0"/>
    </xf>
    <xf borderId="9" fillId="7" fontId="6" numFmtId="165" xfId="0" applyBorder="1" applyFont="1" applyNumberFormat="1"/>
    <xf borderId="0" fillId="7" fontId="6" numFmtId="1" xfId="0" applyFont="1" applyNumberFormat="1"/>
    <xf borderId="7" fillId="7" fontId="6" numFmtId="1" xfId="0" applyBorder="1" applyFont="1" applyNumberFormat="1"/>
    <xf borderId="0" fillId="7" fontId="6" numFmtId="165" xfId="0" applyFont="1" applyNumberFormat="1"/>
    <xf borderId="9" fillId="7" fontId="5" numFmtId="1" xfId="0" applyAlignment="1" applyBorder="1" applyFont="1" applyNumberFormat="1">
      <alignment horizontal="center"/>
    </xf>
    <xf borderId="0" fillId="7" fontId="5" numFmtId="10" xfId="0" applyAlignment="1" applyFont="1" applyNumberFormat="1">
      <alignment horizontal="center"/>
    </xf>
    <xf borderId="10" fillId="7" fontId="5" numFmtId="10" xfId="0" applyAlignment="1" applyBorder="1" applyFont="1" applyNumberFormat="1">
      <alignment horizontal="center" vertical="bottom"/>
    </xf>
    <xf borderId="0" fillId="7" fontId="5" numFmtId="165" xfId="0" applyAlignment="1" applyFont="1" applyNumberFormat="1">
      <alignment horizontal="center" readingOrder="0"/>
    </xf>
    <xf borderId="0" fillId="7" fontId="7" numFmtId="1" xfId="0" applyAlignment="1" applyFont="1" applyNumberFormat="1">
      <alignment horizontal="center" readingOrder="0"/>
    </xf>
    <xf borderId="0" fillId="7" fontId="6" numFmtId="168" xfId="0" applyFont="1" applyNumberFormat="1"/>
    <xf borderId="8" fillId="7" fontId="6" numFmtId="0" xfId="0" applyAlignment="1" applyBorder="1" applyFont="1">
      <alignment vertical="bottom"/>
    </xf>
    <xf borderId="0" fillId="7" fontId="5" numFmtId="1" xfId="0" applyAlignment="1" applyFont="1" applyNumberFormat="1">
      <alignment horizontal="center"/>
    </xf>
    <xf borderId="0" fillId="7" fontId="5" numFmtId="4" xfId="0" applyAlignment="1" applyFont="1" applyNumberFormat="1">
      <alignment horizontal="center"/>
    </xf>
    <xf borderId="7" fillId="7" fontId="5" numFmtId="10" xfId="0" applyAlignment="1" applyBorder="1" applyFont="1" applyNumberFormat="1">
      <alignment horizontal="center"/>
    </xf>
    <xf borderId="0" fillId="7" fontId="5" numFmtId="169" xfId="0" applyAlignment="1" applyFont="1" applyNumberFormat="1">
      <alignment horizontal="center"/>
    </xf>
    <xf borderId="0" fillId="7" fontId="5" numFmtId="3" xfId="0" applyAlignment="1" applyFont="1" applyNumberFormat="1">
      <alignment horizontal="center"/>
    </xf>
    <xf borderId="0" fillId="6" fontId="5" numFmtId="10" xfId="0" applyAlignment="1" applyFont="1" applyNumberFormat="1">
      <alignment horizontal="center"/>
    </xf>
    <xf borderId="0" fillId="7" fontId="5" numFmtId="166" xfId="0" applyAlignment="1" applyFont="1" applyNumberFormat="1">
      <alignment horizontal="center"/>
    </xf>
    <xf borderId="8" fillId="7" fontId="5" numFmtId="1" xfId="0" applyAlignment="1" applyBorder="1" applyFont="1" applyNumberFormat="1">
      <alignment horizontal="center"/>
    </xf>
    <xf borderId="10" fillId="8" fontId="5" numFmtId="10" xfId="0" applyAlignment="1" applyBorder="1" applyFill="1" applyFont="1" applyNumberFormat="1">
      <alignment horizontal="center"/>
    </xf>
    <xf borderId="0" fillId="8" fontId="5" numFmtId="10" xfId="0" applyAlignment="1" applyFont="1" applyNumberFormat="1">
      <alignment horizontal="center"/>
    </xf>
    <xf borderId="0" fillId="6" fontId="4" numFmtId="165" xfId="0" applyAlignment="1" applyFont="1" applyNumberFormat="1">
      <alignment horizontal="center"/>
    </xf>
    <xf borderId="0" fillId="6" fontId="4" numFmtId="165" xfId="0" applyAlignment="1" applyFont="1" applyNumberFormat="1">
      <alignment horizontal="center" readingOrder="0"/>
    </xf>
    <xf borderId="0" fillId="6" fontId="6" numFmtId="165" xfId="0" applyAlignment="1" applyFont="1" applyNumberFormat="1">
      <alignment readingOrder="0"/>
    </xf>
    <xf borderId="7" fillId="8" fontId="5" numFmtId="0" xfId="0" applyAlignment="1" applyBorder="1" applyFont="1">
      <alignment horizontal="center" readingOrder="0"/>
    </xf>
    <xf borderId="7" fillId="8" fontId="5" numFmtId="166" xfId="0" applyAlignment="1" applyBorder="1" applyFont="1" applyNumberFormat="1">
      <alignment horizontal="center" vertical="bottom"/>
    </xf>
    <xf borderId="0" fillId="8" fontId="4" numFmtId="0" xfId="0" applyAlignment="1" applyFont="1">
      <alignment readingOrder="0" vertical="bottom"/>
    </xf>
    <xf borderId="0" fillId="8" fontId="6" numFmtId="2" xfId="0" applyAlignment="1" applyFont="1" applyNumberFormat="1">
      <alignment vertical="bottom"/>
    </xf>
    <xf borderId="0" fillId="8" fontId="6" numFmtId="0" xfId="0" applyAlignment="1" applyFont="1">
      <alignment vertical="bottom"/>
    </xf>
    <xf borderId="8" fillId="8" fontId="7" numFmtId="2" xfId="0" applyAlignment="1" applyBorder="1" applyFont="1" applyNumberFormat="1">
      <alignment horizontal="center" readingOrder="0" vertical="bottom"/>
    </xf>
    <xf borderId="0" fillId="8" fontId="7" numFmtId="164" xfId="0" applyAlignment="1" applyFont="1" applyNumberFormat="1">
      <alignment horizontal="center" vertical="bottom"/>
    </xf>
    <xf borderId="0" fillId="8" fontId="7" numFmtId="0" xfId="0" applyAlignment="1" applyFont="1">
      <alignment horizontal="right" readingOrder="0" vertical="bottom"/>
    </xf>
    <xf borderId="0" fillId="8" fontId="7" numFmtId="0" xfId="0" applyAlignment="1" applyFont="1">
      <alignment horizontal="center" vertical="bottom"/>
    </xf>
    <xf borderId="0" fillId="8" fontId="8" numFmtId="165" xfId="0" applyAlignment="1" applyFont="1" applyNumberFormat="1">
      <alignment horizontal="left" vertical="bottom"/>
    </xf>
    <xf borderId="9" fillId="8" fontId="5" numFmtId="167" xfId="0" applyAlignment="1" applyBorder="1" applyFont="1" applyNumberFormat="1">
      <alignment readingOrder="0" vertical="bottom"/>
    </xf>
    <xf borderId="0" fillId="8" fontId="5" numFmtId="167" xfId="0" applyAlignment="1" applyFont="1" applyNumberFormat="1">
      <alignment vertical="bottom"/>
    </xf>
    <xf borderId="9" fillId="8" fontId="7" numFmtId="1" xfId="0" applyAlignment="1" applyBorder="1" applyFont="1" applyNumberFormat="1">
      <alignment horizontal="center" readingOrder="0" vertical="bottom"/>
    </xf>
    <xf borderId="9" fillId="8" fontId="6" numFmtId="165" xfId="0" applyAlignment="1" applyBorder="1" applyFont="1" applyNumberFormat="1">
      <alignment vertical="bottom"/>
    </xf>
    <xf borderId="0" fillId="8" fontId="6" numFmtId="1" xfId="0" applyAlignment="1" applyFont="1" applyNumberFormat="1">
      <alignment vertical="bottom"/>
    </xf>
    <xf borderId="7" fillId="8" fontId="6" numFmtId="1" xfId="0" applyAlignment="1" applyBorder="1" applyFont="1" applyNumberFormat="1">
      <alignment vertical="bottom"/>
    </xf>
    <xf borderId="0" fillId="8" fontId="6" numFmtId="165" xfId="0" applyAlignment="1" applyFont="1" applyNumberFormat="1">
      <alignment vertical="bottom"/>
    </xf>
    <xf borderId="9" fillId="8" fontId="5" numFmtId="1" xfId="0" applyAlignment="1" applyBorder="1" applyFont="1" applyNumberFormat="1">
      <alignment horizontal="center" vertical="bottom"/>
    </xf>
    <xf borderId="0" fillId="8" fontId="5" numFmtId="10" xfId="0" applyAlignment="1" applyFont="1" applyNumberFormat="1">
      <alignment horizontal="center" vertical="bottom"/>
    </xf>
    <xf borderId="10" fillId="8" fontId="5" numFmtId="10" xfId="0" applyAlignment="1" applyBorder="1" applyFont="1" applyNumberFormat="1">
      <alignment horizontal="center" vertical="bottom"/>
    </xf>
    <xf borderId="0" fillId="9" fontId="5" numFmtId="165" xfId="0" applyAlignment="1" applyFill="1" applyFont="1" applyNumberFormat="1">
      <alignment horizontal="center" readingOrder="0" vertical="bottom"/>
    </xf>
    <xf borderId="0" fillId="9" fontId="7" numFmtId="1" xfId="0" applyAlignment="1" applyFont="1" applyNumberFormat="1">
      <alignment horizontal="center" readingOrder="0" vertical="bottom"/>
    </xf>
    <xf borderId="7" fillId="9" fontId="5" numFmtId="166" xfId="0" applyAlignment="1" applyBorder="1" applyFont="1" applyNumberFormat="1">
      <alignment horizontal="center" vertical="bottom"/>
    </xf>
    <xf borderId="0" fillId="9" fontId="6" numFmtId="165" xfId="0" applyAlignment="1" applyFont="1" applyNumberFormat="1">
      <alignment vertical="bottom"/>
    </xf>
    <xf borderId="0" fillId="9" fontId="6" numFmtId="1" xfId="0" applyAlignment="1" applyFont="1" applyNumberFormat="1">
      <alignment vertical="bottom"/>
    </xf>
    <xf borderId="0" fillId="9" fontId="6" numFmtId="168" xfId="0" applyAlignment="1" applyFont="1" applyNumberFormat="1">
      <alignment vertical="bottom"/>
    </xf>
    <xf borderId="9" fillId="9" fontId="6" numFmtId="165" xfId="0" applyAlignment="1" applyBorder="1" applyFont="1" applyNumberFormat="1">
      <alignment vertical="bottom"/>
    </xf>
    <xf borderId="8" fillId="8" fontId="6" numFmtId="0" xfId="0" applyAlignment="1" applyBorder="1" applyFont="1">
      <alignment vertical="bottom"/>
    </xf>
    <xf borderId="0" fillId="8" fontId="5" numFmtId="1" xfId="0" applyAlignment="1" applyFont="1" applyNumberFormat="1">
      <alignment horizontal="center" vertical="bottom"/>
    </xf>
    <xf borderId="0" fillId="8" fontId="5" numFmtId="4" xfId="0" applyAlignment="1" applyFont="1" applyNumberFormat="1">
      <alignment horizontal="center" vertical="bottom"/>
    </xf>
    <xf borderId="7" fillId="8" fontId="5" numFmtId="10" xfId="0" applyAlignment="1" applyBorder="1" applyFont="1" applyNumberFormat="1">
      <alignment horizontal="center"/>
    </xf>
    <xf borderId="0" fillId="8" fontId="5" numFmtId="169" xfId="0" applyAlignment="1" applyFont="1" applyNumberFormat="1">
      <alignment horizontal="center" vertical="bottom"/>
    </xf>
    <xf borderId="0" fillId="8" fontId="5" numFmtId="3" xfId="0" applyAlignment="1" applyFont="1" applyNumberFormat="1">
      <alignment horizontal="center" vertical="bottom"/>
    </xf>
    <xf borderId="0" fillId="6" fontId="5" numFmtId="10" xfId="0" applyAlignment="1" applyFont="1" applyNumberFormat="1">
      <alignment horizontal="center" vertical="bottom"/>
    </xf>
    <xf borderId="0" fillId="7" fontId="5" numFmtId="166" xfId="0" applyAlignment="1" applyFont="1" applyNumberFormat="1">
      <alignment horizontal="center" vertical="bottom"/>
    </xf>
    <xf borderId="8" fillId="10" fontId="5" numFmtId="1" xfId="0" applyAlignment="1" applyBorder="1" applyFill="1" applyFont="1" applyNumberFormat="1">
      <alignment horizontal="center" vertical="bottom"/>
    </xf>
    <xf borderId="0" fillId="10" fontId="5" numFmtId="1" xfId="0" applyAlignment="1" applyFont="1" applyNumberFormat="1">
      <alignment horizontal="center" vertical="bottom"/>
    </xf>
    <xf borderId="10" fillId="11" fontId="5" numFmtId="10" xfId="0" applyAlignment="1" applyBorder="1" applyFill="1" applyFont="1" applyNumberFormat="1">
      <alignment horizontal="center" vertical="bottom"/>
    </xf>
    <xf borderId="0" fillId="6" fontId="6" numFmtId="165" xfId="0" applyAlignment="1" applyFont="1" applyNumberFormat="1">
      <alignment readingOrder="0" vertical="bottom"/>
    </xf>
    <xf borderId="7" fillId="0" fontId="5" numFmtId="166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6" numFmtId="2" xfId="0" applyFont="1" applyNumberFormat="1"/>
    <xf borderId="0" fillId="0" fontId="6" numFmtId="0" xfId="0" applyFont="1"/>
    <xf borderId="8" fillId="0" fontId="7" numFmtId="2" xfId="0" applyAlignment="1" applyBorder="1" applyFont="1" applyNumberFormat="1">
      <alignment horizontal="center" readingOrder="0"/>
    </xf>
    <xf borderId="0" fillId="0" fontId="7" numFmtId="164" xfId="0" applyAlignment="1" applyFont="1" applyNumberFormat="1">
      <alignment horizontal="center"/>
    </xf>
    <xf borderId="0" fillId="0" fontId="7" numFmtId="0" xfId="0" applyAlignment="1" applyFont="1">
      <alignment horizontal="right" readingOrder="0"/>
    </xf>
    <xf borderId="0" fillId="0" fontId="7" numFmtId="0" xfId="0" applyAlignment="1" applyFont="1">
      <alignment horizontal="center"/>
    </xf>
    <xf borderId="0" fillId="0" fontId="8" numFmtId="165" xfId="0" applyFont="1" applyNumberFormat="1"/>
    <xf borderId="9" fillId="0" fontId="5" numFmtId="167" xfId="0" applyAlignment="1" applyBorder="1" applyFont="1" applyNumberFormat="1">
      <alignment readingOrder="0"/>
    </xf>
    <xf borderId="0" fillId="0" fontId="5" numFmtId="167" xfId="0" applyAlignment="1" applyFont="1" applyNumberFormat="1">
      <alignment readingOrder="0"/>
    </xf>
    <xf borderId="9" fillId="0" fontId="7" numFmtId="1" xfId="0" applyAlignment="1" applyBorder="1" applyFont="1" applyNumberFormat="1">
      <alignment horizontal="center" readingOrder="0"/>
    </xf>
    <xf borderId="9" fillId="0" fontId="6" numFmtId="165" xfId="0" applyBorder="1" applyFont="1" applyNumberFormat="1"/>
    <xf borderId="0" fillId="0" fontId="6" numFmtId="1" xfId="0" applyFont="1" applyNumberFormat="1"/>
    <xf borderId="7" fillId="0" fontId="6" numFmtId="1" xfId="0" applyBorder="1" applyFont="1" applyNumberFormat="1"/>
    <xf borderId="0" fillId="0" fontId="6" numFmtId="165" xfId="0" applyFont="1" applyNumberFormat="1"/>
    <xf borderId="9" fillId="0" fontId="5" numFmtId="1" xfId="0" applyAlignment="1" applyBorder="1" applyFont="1" applyNumberFormat="1">
      <alignment horizontal="center"/>
    </xf>
    <xf borderId="0" fillId="0" fontId="5" numFmtId="10" xfId="0" applyAlignment="1" applyFont="1" applyNumberFormat="1">
      <alignment horizontal="center"/>
    </xf>
    <xf borderId="10" fillId="0" fontId="5" numFmtId="10" xfId="0" applyAlignment="1" applyBorder="1" applyFont="1" applyNumberFormat="1">
      <alignment horizontal="center" vertical="bottom"/>
    </xf>
    <xf borderId="0" fillId="0" fontId="5" numFmtId="165" xfId="0" applyAlignment="1" applyFont="1" applyNumberFormat="1">
      <alignment horizontal="center" readingOrder="0"/>
    </xf>
    <xf borderId="0" fillId="0" fontId="7" numFmtId="1" xfId="0" applyAlignment="1" applyFont="1" applyNumberFormat="1">
      <alignment horizontal="center" readingOrder="0"/>
    </xf>
    <xf borderId="0" fillId="0" fontId="6" numFmtId="168" xfId="0" applyFont="1" applyNumberFormat="1"/>
    <xf borderId="8" fillId="0" fontId="6" numFmtId="0" xfId="0" applyAlignment="1" applyBorder="1" applyFont="1">
      <alignment vertical="bottom"/>
    </xf>
    <xf borderId="0" fillId="0" fontId="5" numFmtId="1" xfId="0" applyAlignment="1" applyFont="1" applyNumberFormat="1">
      <alignment horizontal="center"/>
    </xf>
    <xf borderId="0" fillId="0" fontId="5" numFmtId="4" xfId="0" applyAlignment="1" applyFont="1" applyNumberFormat="1">
      <alignment horizontal="center"/>
    </xf>
    <xf borderId="0" fillId="0" fontId="5" numFmtId="169" xfId="0" applyAlignment="1" applyFont="1" applyNumberFormat="1">
      <alignment horizontal="center"/>
    </xf>
    <xf borderId="0" fillId="0" fontId="5" numFmtId="3" xfId="0" applyAlignment="1" applyFont="1" applyNumberFormat="1">
      <alignment horizontal="center"/>
    </xf>
    <xf borderId="8" fillId="0" fontId="5" numFmtId="1" xfId="0" applyAlignment="1" applyBorder="1" applyFont="1" applyNumberFormat="1">
      <alignment horizontal="center"/>
    </xf>
    <xf borderId="10" fillId="5" fontId="5" numFmtId="10" xfId="0" applyAlignment="1" applyBorder="1" applyFont="1" applyNumberFormat="1">
      <alignment horizontal="center"/>
    </xf>
    <xf borderId="7" fillId="8" fontId="5" numFmtId="166" xfId="0" applyAlignment="1" applyBorder="1" applyFont="1" applyNumberFormat="1">
      <alignment horizontal="center" readingOrder="0" vertical="center"/>
    </xf>
    <xf borderId="0" fillId="8" fontId="4" numFmtId="0" xfId="0" applyAlignment="1" applyFont="1">
      <alignment horizontal="left" readingOrder="0" vertical="center"/>
    </xf>
    <xf borderId="0" fillId="8" fontId="4" numFmtId="2" xfId="0" applyAlignment="1" applyFont="1" applyNumberFormat="1">
      <alignment horizontal="left" readingOrder="0" vertical="center"/>
    </xf>
    <xf borderId="0" fillId="8" fontId="7" numFmtId="0" xfId="0" applyAlignment="1" applyFont="1">
      <alignment horizontal="center" readingOrder="0" vertical="center"/>
    </xf>
    <xf borderId="8" fillId="8" fontId="7" numFmtId="2" xfId="0" applyAlignment="1" applyBorder="1" applyFont="1" applyNumberFormat="1">
      <alignment horizontal="center" readingOrder="0" vertical="center"/>
    </xf>
    <xf borderId="0" fillId="8" fontId="7" numFmtId="164" xfId="0" applyAlignment="1" applyFont="1" applyNumberFormat="1">
      <alignment horizontal="center" vertical="center"/>
    </xf>
    <xf borderId="0" fillId="8" fontId="7" numFmtId="0" xfId="0" applyAlignment="1" applyFont="1">
      <alignment horizontal="right" readingOrder="0" vertical="center"/>
    </xf>
    <xf borderId="0" fillId="8" fontId="8" numFmtId="165" xfId="0" applyAlignment="1" applyFont="1" applyNumberFormat="1">
      <alignment horizontal="left" vertical="center"/>
    </xf>
    <xf borderId="9" fillId="9" fontId="5" numFmtId="167" xfId="0" applyAlignment="1" applyBorder="1" applyFont="1" applyNumberFormat="1">
      <alignment readingOrder="0" vertical="center"/>
    </xf>
    <xf borderId="0" fillId="9" fontId="5" numFmtId="167" xfId="0" applyAlignment="1" applyFont="1" applyNumberFormat="1">
      <alignment readingOrder="0" vertical="center"/>
    </xf>
    <xf borderId="9" fillId="8" fontId="7" numFmtId="1" xfId="0" applyAlignment="1" applyBorder="1" applyFont="1" applyNumberFormat="1">
      <alignment horizontal="center" readingOrder="0" vertical="center"/>
    </xf>
    <xf borderId="9" fillId="8" fontId="5" numFmtId="165" xfId="0" applyAlignment="1" applyBorder="1" applyFont="1" applyNumberFormat="1">
      <alignment horizontal="center" vertical="center"/>
    </xf>
    <xf borderId="0" fillId="8" fontId="5" numFmtId="1" xfId="0" applyAlignment="1" applyFont="1" applyNumberFormat="1">
      <alignment horizontal="center" vertical="center"/>
    </xf>
    <xf borderId="7" fillId="8" fontId="5" numFmtId="1" xfId="0" applyAlignment="1" applyBorder="1" applyFont="1" applyNumberFormat="1">
      <alignment horizontal="center" vertical="center"/>
    </xf>
    <xf borderId="0" fillId="8" fontId="5" numFmtId="165" xfId="0" applyAlignment="1" applyFont="1" applyNumberFormat="1">
      <alignment horizontal="center" vertical="center"/>
    </xf>
    <xf borderId="9" fillId="8" fontId="5" numFmtId="1" xfId="0" applyAlignment="1" applyBorder="1" applyFont="1" applyNumberFormat="1">
      <alignment horizontal="center" vertical="center"/>
    </xf>
    <xf borderId="0" fillId="8" fontId="5" numFmtId="10" xfId="0" applyAlignment="1" applyFont="1" applyNumberFormat="1">
      <alignment horizontal="center" vertical="center"/>
    </xf>
    <xf borderId="0" fillId="9" fontId="5" numFmtId="165" xfId="0" applyAlignment="1" applyFont="1" applyNumberFormat="1">
      <alignment horizontal="center" readingOrder="0" vertical="center"/>
    </xf>
    <xf borderId="0" fillId="9" fontId="7" numFmtId="1" xfId="0" applyAlignment="1" applyFont="1" applyNumberFormat="1">
      <alignment horizontal="center" readingOrder="0" vertical="center"/>
    </xf>
    <xf borderId="7" fillId="9" fontId="5" numFmtId="166" xfId="0" applyAlignment="1" applyBorder="1" applyFont="1" applyNumberFormat="1">
      <alignment horizontal="center" readingOrder="0" vertical="center"/>
    </xf>
    <xf borderId="0" fillId="9" fontId="9" numFmtId="168" xfId="0" applyAlignment="1" applyFont="1" applyNumberFormat="1">
      <alignment horizontal="center" readingOrder="0" vertical="center"/>
    </xf>
    <xf borderId="9" fillId="9" fontId="5" numFmtId="165" xfId="0" applyAlignment="1" applyBorder="1" applyFont="1" applyNumberFormat="1">
      <alignment horizontal="center" readingOrder="0" vertical="center"/>
    </xf>
    <xf borderId="8" fillId="8" fontId="5" numFmtId="0" xfId="0" applyAlignment="1" applyBorder="1" applyFont="1">
      <alignment horizontal="center"/>
    </xf>
    <xf borderId="0" fillId="8" fontId="5" numFmtId="4" xfId="0" applyAlignment="1" applyFont="1" applyNumberFormat="1">
      <alignment horizontal="center" readingOrder="0" vertical="center"/>
    </xf>
    <xf borderId="0" fillId="8" fontId="5" numFmtId="169" xfId="0" applyAlignment="1" applyFont="1" applyNumberFormat="1">
      <alignment horizontal="center" readingOrder="0" vertical="center"/>
    </xf>
    <xf borderId="0" fillId="8" fontId="5" numFmtId="3" xfId="0" applyAlignment="1" applyFont="1" applyNumberFormat="1">
      <alignment horizontal="center" readingOrder="0" vertical="center"/>
    </xf>
    <xf borderId="0" fillId="6" fontId="5" numFmtId="10" xfId="0" applyAlignment="1" applyFont="1" applyNumberFormat="1">
      <alignment horizontal="center" readingOrder="0" vertical="center"/>
    </xf>
    <xf borderId="0" fillId="7" fontId="5" numFmtId="166" xfId="0" applyAlignment="1" applyFont="1" applyNumberFormat="1">
      <alignment horizontal="center" readingOrder="0" vertical="center"/>
    </xf>
    <xf borderId="8" fillId="9" fontId="5" numFmtId="1" xfId="0" applyAlignment="1" applyBorder="1" applyFont="1" applyNumberFormat="1">
      <alignment horizontal="center" vertical="center"/>
    </xf>
    <xf borderId="0" fillId="9" fontId="5" numFmtId="1" xfId="0" applyAlignment="1" applyFont="1" applyNumberFormat="1">
      <alignment horizontal="center" vertical="center"/>
    </xf>
    <xf borderId="10" fillId="12" fontId="5" numFmtId="10" xfId="0" applyAlignment="1" applyBorder="1" applyFill="1" applyFont="1" applyNumberFormat="1">
      <alignment horizontal="center" vertical="center"/>
    </xf>
    <xf borderId="0" fillId="6" fontId="4" numFmtId="165" xfId="0" applyAlignment="1" applyFont="1" applyNumberFormat="1">
      <alignment horizontal="center" readingOrder="0" vertical="center"/>
    </xf>
    <xf borderId="0" fillId="8" fontId="4" numFmtId="2" xfId="0" applyAlignment="1" applyFont="1" applyNumberFormat="1">
      <alignment horizontal="center" readingOrder="0" vertical="center"/>
    </xf>
    <xf borderId="0" fillId="0" fontId="8" numFmtId="165" xfId="0" applyAlignment="1" applyFont="1" applyNumberFormat="1">
      <alignment horizontal="left"/>
    </xf>
    <xf borderId="0" fillId="6" fontId="6" numFmtId="165" xfId="0" applyFont="1" applyNumberFormat="1"/>
    <xf borderId="0" fillId="0" fontId="6" numFmtId="2" xfId="0" applyAlignment="1" applyFont="1" applyNumberFormat="1">
      <alignment readingOrder="0"/>
    </xf>
    <xf borderId="7" fillId="0" fontId="5" numFmtId="166" xfId="0" applyAlignment="1" applyBorder="1" applyFont="1" applyNumberFormat="1">
      <alignment horizontal="center"/>
    </xf>
    <xf borderId="0" fillId="0" fontId="4" numFmtId="0" xfId="0" applyFont="1"/>
    <xf borderId="8" fillId="0" fontId="7" numFmtId="2" xfId="0" applyAlignment="1" applyBorder="1" applyFont="1" applyNumberFormat="1">
      <alignment horizontal="center"/>
    </xf>
    <xf borderId="0" fillId="0" fontId="7" numFmtId="0" xfId="0" applyAlignment="1" applyFont="1">
      <alignment horizontal="right"/>
    </xf>
    <xf borderId="0" fillId="0" fontId="5" numFmtId="167" xfId="0" applyFont="1" applyNumberFormat="1"/>
    <xf borderId="9" fillId="0" fontId="7" numFmtId="1" xfId="0" applyAlignment="1" applyBorder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0" fillId="0" fontId="7" numFmtId="1" xfId="0" applyAlignment="1" applyFont="1" applyNumberFormat="1">
      <alignment horizontal="center"/>
    </xf>
    <xf borderId="7" fillId="9" fontId="9" numFmtId="168" xfId="0" applyAlignment="1" applyBorder="1" applyFont="1" applyNumberFormat="1">
      <alignment horizontal="center" readingOrder="0" vertical="center"/>
    </xf>
    <xf borderId="0" fillId="8" fontId="4" numFmtId="0" xfId="0" applyAlignment="1" applyFont="1">
      <alignment horizontal="center" readingOrder="0" vertical="center"/>
    </xf>
    <xf borderId="7" fillId="0" fontId="5" numFmtId="166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2" xfId="0" applyAlignment="1" applyFont="1" applyNumberFormat="1">
      <alignment horizontal="left" readingOrder="0" vertical="center"/>
    </xf>
    <xf borderId="0" fillId="0" fontId="7" numFmtId="0" xfId="0" applyAlignment="1" applyFont="1">
      <alignment horizontal="center" readingOrder="0" vertical="center"/>
    </xf>
    <xf borderId="8" fillId="0" fontId="7" numFmtId="2" xfId="0" applyAlignment="1" applyBorder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right" readingOrder="0" vertical="center"/>
    </xf>
    <xf borderId="0" fillId="0" fontId="8" numFmtId="165" xfId="0" applyAlignment="1" applyFont="1" applyNumberFormat="1">
      <alignment horizontal="left" vertical="center"/>
    </xf>
    <xf borderId="9" fillId="0" fontId="5" numFmtId="167" xfId="0" applyAlignment="1" applyBorder="1" applyFont="1" applyNumberFormat="1">
      <alignment readingOrder="0" vertical="center"/>
    </xf>
    <xf borderId="0" fillId="0" fontId="5" numFmtId="167" xfId="0" applyAlignment="1" applyFont="1" applyNumberFormat="1">
      <alignment readingOrder="0" vertical="center"/>
    </xf>
    <xf borderId="9" fillId="0" fontId="7" numFmtId="1" xfId="0" applyAlignment="1" applyBorder="1" applyFont="1" applyNumberFormat="1">
      <alignment horizontal="center" readingOrder="0" vertical="center"/>
    </xf>
    <xf borderId="9" fillId="0" fontId="5" numFmtId="165" xfId="0" applyAlignment="1" applyBorder="1" applyFont="1" applyNumberFormat="1">
      <alignment horizontal="center" vertical="center"/>
    </xf>
    <xf borderId="0" fillId="0" fontId="5" numFmtId="1" xfId="0" applyAlignment="1" applyFont="1" applyNumberFormat="1">
      <alignment horizontal="center" vertical="center"/>
    </xf>
    <xf borderId="7" fillId="0" fontId="5" numFmtId="1" xfId="0" applyAlignment="1" applyBorder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9" fillId="0" fontId="5" numFmtId="1" xfId="0" applyAlignment="1" applyBorder="1" applyFont="1" applyNumberFormat="1">
      <alignment horizontal="center" vertical="center"/>
    </xf>
    <xf borderId="0" fillId="0" fontId="5" numFmtId="10" xfId="0" applyAlignment="1" applyFont="1" applyNumberFormat="1">
      <alignment horizontal="center" vertical="center"/>
    </xf>
    <xf borderId="10" fillId="0" fontId="5" numFmtId="10" xfId="0" applyAlignment="1" applyBorder="1" applyFont="1" applyNumberFormat="1">
      <alignment horizontal="center"/>
    </xf>
    <xf borderId="0" fillId="0" fontId="5" numFmtId="165" xfId="0" applyAlignment="1" applyFont="1" applyNumberFormat="1">
      <alignment horizontal="center" readingOrder="0" vertical="center"/>
    </xf>
    <xf borderId="0" fillId="0" fontId="7" numFmtId="1" xfId="0" applyAlignment="1" applyFont="1" applyNumberFormat="1">
      <alignment horizontal="center" readingOrder="0" vertical="center"/>
    </xf>
    <xf borderId="0" fillId="0" fontId="9" numFmtId="168" xfId="0" applyAlignment="1" applyFont="1" applyNumberFormat="1">
      <alignment horizontal="center" readingOrder="0" vertical="center"/>
    </xf>
    <xf borderId="9" fillId="0" fontId="5" numFmtId="165" xfId="0" applyAlignment="1" applyBorder="1" applyFont="1" applyNumberFormat="1">
      <alignment horizontal="center" readingOrder="0" vertical="center"/>
    </xf>
    <xf borderId="8" fillId="0" fontId="5" numFmtId="0" xfId="0" applyAlignment="1" applyBorder="1" applyFont="1">
      <alignment horizontal="center"/>
    </xf>
    <xf borderId="0" fillId="0" fontId="5" numFmtId="4" xfId="0" applyAlignment="1" applyFont="1" applyNumberFormat="1">
      <alignment horizontal="center" readingOrder="0" vertical="center"/>
    </xf>
    <xf borderId="0" fillId="0" fontId="5" numFmtId="169" xfId="0" applyAlignment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 readingOrder="0" vertical="center"/>
    </xf>
    <xf borderId="8" fillId="0" fontId="5" numFmtId="1" xfId="0" applyAlignment="1" applyBorder="1" applyFont="1" applyNumberFormat="1">
      <alignment horizontal="center" vertical="center"/>
    </xf>
    <xf borderId="0" fillId="0" fontId="4" numFmtId="2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left" readingOrder="0" vertical="center"/>
    </xf>
    <xf borderId="9" fillId="0" fontId="5" numFmtId="167" xfId="0" applyAlignment="1" applyBorder="1" applyFont="1" applyNumberFormat="1">
      <alignment readingOrder="0" vertical="center"/>
    </xf>
    <xf borderId="9" fillId="0" fontId="7" numFmtId="165" xfId="0" applyAlignment="1" applyBorder="1" applyFont="1" applyNumberForma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8" fontId="10" numFmtId="0" xfId="0" applyAlignment="1" applyFont="1">
      <alignment horizontal="left" readingOrder="0" vertical="center"/>
    </xf>
    <xf borderId="9" fillId="8" fontId="7" numFmtId="165" xfId="0" applyAlignment="1" applyBorder="1" applyFont="1" applyNumberFormat="1">
      <alignment horizontal="center" readingOrder="0" vertical="center"/>
    </xf>
    <xf borderId="0" fillId="8" fontId="7" numFmtId="1" xfId="0" applyAlignment="1" applyFont="1" applyNumberFormat="1">
      <alignment horizontal="center" readingOrder="0" vertical="center"/>
    </xf>
    <xf borderId="0" fillId="8" fontId="7" numFmtId="165" xfId="0" applyAlignment="1" applyFont="1" applyNumberFormat="1">
      <alignment horizontal="center" readingOrder="0" vertical="center"/>
    </xf>
    <xf borderId="8" fillId="8" fontId="5" numFmtId="1" xfId="0" applyAlignment="1" applyBorder="1" applyFont="1" applyNumberFormat="1">
      <alignment horizontal="center"/>
    </xf>
    <xf borderId="7" fillId="7" fontId="5" numFmtId="166" xfId="0" applyAlignment="1" applyBorder="1" applyFont="1" applyNumberFormat="1">
      <alignment horizontal="center" readingOrder="0" vertical="center"/>
    </xf>
    <xf borderId="0" fillId="0" fontId="7" numFmtId="1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7" fontId="5" numFmtId="4" xfId="0" applyAlignment="1" applyFont="1" applyNumberFormat="1">
      <alignment horizontal="center" readingOrder="0" vertical="center"/>
    </xf>
    <xf borderId="9" fillId="8" fontId="5" numFmtId="165" xfId="0" applyAlignment="1" applyBorder="1" applyFont="1" applyNumberFormat="1">
      <alignment horizontal="center" readingOrder="0" vertical="center"/>
    </xf>
    <xf borderId="0" fillId="8" fontId="5" numFmtId="1" xfId="0" applyAlignment="1" applyFont="1" applyNumberFormat="1">
      <alignment horizontal="center" readingOrder="0" vertical="center"/>
    </xf>
    <xf borderId="7" fillId="8" fontId="5" numFmtId="168" xfId="0" applyAlignment="1" applyBorder="1" applyFont="1" applyNumberFormat="1">
      <alignment horizontal="center" readingOrder="0" vertical="center"/>
    </xf>
    <xf borderId="0" fillId="0" fontId="5" numFmtId="1" xfId="0" applyAlignment="1" applyFont="1" applyNumberFormat="1">
      <alignment horizontal="center" readingOrder="0" vertical="center"/>
    </xf>
    <xf borderId="7" fillId="0" fontId="5" numFmtId="168" xfId="0" applyAlignment="1" applyBorder="1" applyFont="1" applyNumberFormat="1">
      <alignment horizontal="center" readingOrder="0" vertical="center"/>
    </xf>
    <xf borderId="0" fillId="7" fontId="5" numFmtId="1" xfId="0" applyAlignment="1" applyFont="1" applyNumberFormat="1">
      <alignment horizontal="center" vertical="center"/>
    </xf>
    <xf borderId="7" fillId="8" fontId="5" numFmtId="0" xfId="0" applyAlignment="1" applyBorder="1" applyFont="1">
      <alignment horizontal="center" readingOrder="0" vertical="bottom"/>
    </xf>
    <xf borderId="7" fillId="8" fontId="5" numFmtId="166" xfId="0" applyAlignment="1" applyBorder="1" applyFont="1" applyNumberFormat="1">
      <alignment horizontal="center" readingOrder="0"/>
    </xf>
    <xf borderId="0" fillId="8" fontId="4" numFmtId="0" xfId="0" applyAlignment="1" applyFont="1">
      <alignment readingOrder="0"/>
    </xf>
    <xf borderId="0" fillId="8" fontId="6" numFmtId="2" xfId="0" applyFont="1" applyNumberFormat="1"/>
    <xf borderId="0" fillId="8" fontId="6" numFmtId="0" xfId="0" applyFont="1"/>
    <xf borderId="8" fillId="8" fontId="7" numFmtId="2" xfId="0" applyAlignment="1" applyBorder="1" applyFont="1" applyNumberFormat="1">
      <alignment horizontal="center" readingOrder="0"/>
    </xf>
    <xf borderId="0" fillId="8" fontId="7" numFmtId="164" xfId="0" applyAlignment="1" applyFont="1" applyNumberFormat="1">
      <alignment horizontal="center"/>
    </xf>
    <xf borderId="0" fillId="8" fontId="7" numFmtId="0" xfId="0" applyAlignment="1" applyFont="1">
      <alignment horizontal="right" readingOrder="0"/>
    </xf>
    <xf borderId="0" fillId="8" fontId="6" numFmtId="0" xfId="0" applyAlignment="1" applyFont="1">
      <alignment readingOrder="0"/>
    </xf>
    <xf borderId="0" fillId="8" fontId="7" numFmtId="0" xfId="0" applyAlignment="1" applyFont="1">
      <alignment horizontal="center"/>
    </xf>
    <xf borderId="0" fillId="8" fontId="8" numFmtId="165" xfId="0" applyFont="1" applyNumberFormat="1"/>
    <xf borderId="9" fillId="9" fontId="5" numFmtId="167" xfId="0" applyAlignment="1" applyBorder="1" applyFont="1" applyNumberFormat="1">
      <alignment readingOrder="0"/>
    </xf>
    <xf borderId="0" fillId="9" fontId="5" numFmtId="167" xfId="0" applyFont="1" applyNumberFormat="1"/>
    <xf borderId="9" fillId="8" fontId="7" numFmtId="1" xfId="0" applyAlignment="1" applyBorder="1" applyFont="1" applyNumberFormat="1">
      <alignment horizontal="center" readingOrder="0"/>
    </xf>
    <xf borderId="9" fillId="8" fontId="6" numFmtId="165" xfId="0" applyBorder="1" applyFont="1" applyNumberFormat="1"/>
    <xf borderId="0" fillId="8" fontId="6" numFmtId="1" xfId="0" applyFont="1" applyNumberFormat="1"/>
    <xf borderId="7" fillId="8" fontId="6" numFmtId="1" xfId="0" applyBorder="1" applyFont="1" applyNumberFormat="1"/>
    <xf borderId="0" fillId="8" fontId="6" numFmtId="165" xfId="0" applyFont="1" applyNumberFormat="1"/>
    <xf borderId="9" fillId="8" fontId="5" numFmtId="1" xfId="0" applyAlignment="1" applyBorder="1" applyFont="1" applyNumberFormat="1">
      <alignment horizontal="center"/>
    </xf>
    <xf borderId="0" fillId="9" fontId="5" numFmtId="165" xfId="0" applyAlignment="1" applyFont="1" applyNumberFormat="1">
      <alignment horizontal="center" readingOrder="0"/>
    </xf>
    <xf borderId="0" fillId="9" fontId="7" numFmtId="1" xfId="0" applyAlignment="1" applyFont="1" applyNumberFormat="1">
      <alignment horizontal="center" readingOrder="0"/>
    </xf>
    <xf borderId="0" fillId="9" fontId="6" numFmtId="165" xfId="0" applyAlignment="1" applyFont="1" applyNumberFormat="1">
      <alignment readingOrder="0"/>
    </xf>
    <xf borderId="0" fillId="9" fontId="6" numFmtId="1" xfId="0" applyAlignment="1" applyFont="1" applyNumberFormat="1">
      <alignment readingOrder="0"/>
    </xf>
    <xf borderId="9" fillId="9" fontId="6" numFmtId="165" xfId="0" applyBorder="1" applyFont="1" applyNumberFormat="1"/>
    <xf borderId="0" fillId="9" fontId="6" numFmtId="1" xfId="0" applyFont="1" applyNumberFormat="1"/>
    <xf borderId="0" fillId="9" fontId="6" numFmtId="168" xfId="0" applyFont="1" applyNumberFormat="1"/>
    <xf borderId="0" fillId="8" fontId="5" numFmtId="1" xfId="0" applyAlignment="1" applyFont="1" applyNumberFormat="1">
      <alignment horizontal="center"/>
    </xf>
    <xf borderId="0" fillId="8" fontId="5" numFmtId="4" xfId="0" applyAlignment="1" applyFont="1" applyNumberFormat="1">
      <alignment horizontal="center"/>
    </xf>
    <xf borderId="0" fillId="8" fontId="5" numFmtId="169" xfId="0" applyAlignment="1" applyFont="1" applyNumberFormat="1">
      <alignment horizontal="center"/>
    </xf>
    <xf borderId="0" fillId="8" fontId="5" numFmtId="3" xfId="0" applyAlignment="1" applyFont="1" applyNumberFormat="1">
      <alignment horizontal="center"/>
    </xf>
    <xf borderId="8" fillId="9" fontId="5" numFmtId="1" xfId="0" applyAlignment="1" applyBorder="1" applyFont="1" applyNumberFormat="1">
      <alignment horizontal="center"/>
    </xf>
    <xf borderId="0" fillId="9" fontId="5" numFmtId="1" xfId="0" applyAlignment="1" applyFont="1" applyNumberFormat="1">
      <alignment horizontal="center"/>
    </xf>
    <xf borderId="10" fillId="11" fontId="5" numFmtId="10" xfId="0" applyAlignment="1" applyBorder="1" applyFont="1" applyNumberFormat="1">
      <alignment horizontal="center"/>
    </xf>
    <xf borderId="7" fillId="7" fontId="5" numFmtId="0" xfId="0" applyAlignment="1" applyBorder="1" applyFont="1">
      <alignment horizontal="center" readingOrder="0" vertical="bottom"/>
    </xf>
    <xf borderId="7" fillId="0" fontId="5" numFmtId="166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6" numFmtId="2" xfId="0" applyAlignment="1" applyFont="1" applyNumberFormat="1">
      <alignment vertical="bottom"/>
    </xf>
    <xf borderId="0" fillId="0" fontId="6" numFmtId="0" xfId="0" applyAlignment="1" applyFont="1">
      <alignment vertical="bottom"/>
    </xf>
    <xf borderId="8" fillId="0" fontId="7" numFmtId="2" xfId="0" applyAlignment="1" applyBorder="1" applyFont="1" applyNumberFormat="1">
      <alignment horizontal="center" readingOrder="0" vertical="bottom"/>
    </xf>
    <xf borderId="0" fillId="0" fontId="7" numFmtId="164" xfId="0" applyAlignment="1" applyFont="1" applyNumberFormat="1">
      <alignment horizontal="center" vertical="bottom"/>
    </xf>
    <xf borderId="0" fillId="0" fontId="7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center" vertical="bottom"/>
    </xf>
    <xf borderId="0" fillId="0" fontId="8" numFmtId="165" xfId="0" applyAlignment="1" applyFont="1" applyNumberFormat="1">
      <alignment horizontal="right" vertical="bottom"/>
    </xf>
    <xf borderId="9" fillId="0" fontId="5" numFmtId="167" xfId="0" applyAlignment="1" applyBorder="1" applyFont="1" applyNumberFormat="1">
      <alignment readingOrder="0" vertical="bottom"/>
    </xf>
    <xf borderId="0" fillId="0" fontId="5" numFmtId="167" xfId="0" applyAlignment="1" applyFont="1" applyNumberFormat="1">
      <alignment vertical="bottom"/>
    </xf>
    <xf borderId="9" fillId="0" fontId="7" numFmtId="1" xfId="0" applyAlignment="1" applyBorder="1" applyFont="1" applyNumberFormat="1">
      <alignment horizontal="center" readingOrder="0" vertical="bottom"/>
    </xf>
    <xf borderId="9" fillId="0" fontId="6" numFmtId="165" xfId="0" applyAlignment="1" applyBorder="1" applyFont="1" applyNumberFormat="1">
      <alignment vertical="bottom"/>
    </xf>
    <xf borderId="0" fillId="0" fontId="6" numFmtId="1" xfId="0" applyAlignment="1" applyFont="1" applyNumberFormat="1">
      <alignment vertical="bottom"/>
    </xf>
    <xf borderId="7" fillId="0" fontId="6" numFmtId="1" xfId="0" applyAlignment="1" applyBorder="1" applyFont="1" applyNumberFormat="1">
      <alignment vertical="bottom"/>
    </xf>
    <xf borderId="0" fillId="0" fontId="6" numFmtId="165" xfId="0" applyAlignment="1" applyFont="1" applyNumberFormat="1">
      <alignment vertical="bottom"/>
    </xf>
    <xf borderId="9" fillId="0" fontId="5" numFmtId="1" xfId="0" applyAlignment="1" applyBorder="1" applyFont="1" applyNumberFormat="1">
      <alignment horizontal="center" vertical="bottom"/>
    </xf>
    <xf borderId="0" fillId="0" fontId="5" numFmtId="10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center" readingOrder="0" vertical="bottom"/>
    </xf>
    <xf borderId="0" fillId="0" fontId="7" numFmtId="1" xfId="0" applyAlignment="1" applyFont="1" applyNumberFormat="1">
      <alignment horizontal="center" readingOrder="0" vertical="bottom"/>
    </xf>
    <xf borderId="0" fillId="0" fontId="6" numFmtId="168" xfId="0" applyAlignment="1" applyFont="1" applyNumberFormat="1">
      <alignment vertical="bottom"/>
    </xf>
    <xf borderId="0" fillId="0" fontId="5" numFmtId="1" xfId="0" applyAlignment="1" applyFont="1" applyNumberFormat="1">
      <alignment horizontal="center" vertical="bottom"/>
    </xf>
    <xf borderId="0" fillId="0" fontId="5" numFmtId="4" xfId="0" applyAlignment="1" applyFont="1" applyNumberFormat="1">
      <alignment horizontal="center" vertical="bottom"/>
    </xf>
    <xf borderId="0" fillId="0" fontId="5" numFmtId="169" xfId="0" applyAlignment="1" applyFont="1" applyNumberFormat="1">
      <alignment horizontal="center" vertical="bottom"/>
    </xf>
    <xf borderId="0" fillId="0" fontId="5" numFmtId="3" xfId="0" applyAlignment="1" applyFont="1" applyNumberFormat="1">
      <alignment horizontal="center" vertical="bottom"/>
    </xf>
    <xf borderId="8" fillId="0" fontId="5" numFmtId="1" xfId="0" applyAlignment="1" applyBorder="1" applyFont="1" applyNumberFormat="1">
      <alignment horizontal="center" vertical="bottom"/>
    </xf>
    <xf borderId="10" fillId="5" fontId="5" numFmtId="10" xfId="0" applyAlignment="1" applyBorder="1" applyFont="1" applyNumberFormat="1">
      <alignment horizontal="center" vertical="bottom"/>
    </xf>
    <xf borderId="0" fillId="6" fontId="6" numFmtId="165" xfId="0" applyAlignment="1" applyFont="1" applyNumberFormat="1">
      <alignment vertical="bottom"/>
    </xf>
    <xf borderId="7" fillId="7" fontId="5" numFmtId="166" xfId="0" applyAlignment="1" applyBorder="1" applyFont="1" applyNumberFormat="1">
      <alignment horizontal="center" readingOrder="0" vertical="bottom"/>
    </xf>
    <xf borderId="0" fillId="7" fontId="4" numFmtId="0" xfId="0" applyAlignment="1" applyFont="1">
      <alignment readingOrder="0" vertical="bottom"/>
    </xf>
    <xf borderId="0" fillId="7" fontId="6" numFmtId="2" xfId="0" applyAlignment="1" applyFont="1" applyNumberFormat="1">
      <alignment vertical="bottom"/>
    </xf>
    <xf borderId="0" fillId="7" fontId="6" numFmtId="0" xfId="0" applyAlignment="1" applyFont="1">
      <alignment vertical="bottom"/>
    </xf>
    <xf borderId="8" fillId="7" fontId="7" numFmtId="2" xfId="0" applyAlignment="1" applyBorder="1" applyFont="1" applyNumberFormat="1">
      <alignment horizontal="center" readingOrder="0" vertical="bottom"/>
    </xf>
    <xf borderId="0" fillId="7" fontId="7" numFmtId="164" xfId="0" applyAlignment="1" applyFont="1" applyNumberFormat="1">
      <alignment horizontal="center" vertical="bottom"/>
    </xf>
    <xf borderId="0" fillId="7" fontId="7" numFmtId="0" xfId="0" applyAlignment="1" applyFont="1">
      <alignment horizontal="right" readingOrder="0" vertical="bottom"/>
    </xf>
    <xf borderId="0" fillId="7" fontId="6" numFmtId="0" xfId="0" applyAlignment="1" applyFont="1">
      <alignment readingOrder="0" vertical="bottom"/>
    </xf>
    <xf borderId="0" fillId="7" fontId="7" numFmtId="0" xfId="0" applyAlignment="1" applyFont="1">
      <alignment horizontal="center" vertical="bottom"/>
    </xf>
    <xf borderId="0" fillId="7" fontId="8" numFmtId="165" xfId="0" applyAlignment="1" applyFont="1" applyNumberFormat="1">
      <alignment horizontal="left" vertical="bottom"/>
    </xf>
    <xf borderId="9" fillId="7" fontId="5" numFmtId="167" xfId="0" applyAlignment="1" applyBorder="1" applyFont="1" applyNumberFormat="1">
      <alignment readingOrder="0" vertical="bottom"/>
    </xf>
    <xf borderId="0" fillId="7" fontId="5" numFmtId="167" xfId="0" applyAlignment="1" applyFont="1" applyNumberFormat="1">
      <alignment vertical="bottom"/>
    </xf>
    <xf borderId="9" fillId="7" fontId="7" numFmtId="1" xfId="0" applyAlignment="1" applyBorder="1" applyFont="1" applyNumberFormat="1">
      <alignment horizontal="center" readingOrder="0" vertical="bottom"/>
    </xf>
    <xf borderId="9" fillId="7" fontId="6" numFmtId="165" xfId="0" applyAlignment="1" applyBorder="1" applyFont="1" applyNumberFormat="1">
      <alignment vertical="bottom"/>
    </xf>
    <xf borderId="0" fillId="7" fontId="6" numFmtId="1" xfId="0" applyAlignment="1" applyFont="1" applyNumberFormat="1">
      <alignment vertical="bottom"/>
    </xf>
    <xf borderId="7" fillId="7" fontId="6" numFmtId="1" xfId="0" applyAlignment="1" applyBorder="1" applyFont="1" applyNumberFormat="1">
      <alignment vertical="bottom"/>
    </xf>
    <xf borderId="0" fillId="7" fontId="6" numFmtId="165" xfId="0" applyAlignment="1" applyFont="1" applyNumberFormat="1">
      <alignment vertical="bottom"/>
    </xf>
    <xf borderId="9" fillId="7" fontId="5" numFmtId="1" xfId="0" applyAlignment="1" applyBorder="1" applyFont="1" applyNumberFormat="1">
      <alignment horizontal="center" vertical="bottom"/>
    </xf>
    <xf borderId="0" fillId="7" fontId="5" numFmtId="10" xfId="0" applyAlignment="1" applyFont="1" applyNumberFormat="1">
      <alignment horizontal="center" vertical="bottom"/>
    </xf>
    <xf borderId="0" fillId="7" fontId="5" numFmtId="165" xfId="0" applyAlignment="1" applyFont="1" applyNumberFormat="1">
      <alignment horizontal="center" readingOrder="0" vertical="bottom"/>
    </xf>
    <xf borderId="0" fillId="7" fontId="7" numFmtId="1" xfId="0" applyAlignment="1" applyFont="1" applyNumberFormat="1">
      <alignment horizontal="center" readingOrder="0" vertical="bottom"/>
    </xf>
    <xf borderId="0" fillId="7" fontId="6" numFmtId="168" xfId="0" applyAlignment="1" applyFont="1" applyNumberFormat="1">
      <alignment vertical="bottom"/>
    </xf>
    <xf borderId="0" fillId="7" fontId="5" numFmtId="1" xfId="0" applyAlignment="1" applyFont="1" applyNumberFormat="1">
      <alignment horizontal="center" vertical="bottom"/>
    </xf>
    <xf borderId="0" fillId="7" fontId="5" numFmtId="4" xfId="0" applyAlignment="1" applyFont="1" applyNumberFormat="1">
      <alignment horizontal="center" vertical="bottom"/>
    </xf>
    <xf borderId="0" fillId="7" fontId="5" numFmtId="169" xfId="0" applyAlignment="1" applyFont="1" applyNumberFormat="1">
      <alignment horizontal="center" vertical="bottom"/>
    </xf>
    <xf borderId="0" fillId="7" fontId="5" numFmtId="3" xfId="0" applyAlignment="1" applyFont="1" applyNumberFormat="1">
      <alignment horizontal="center" vertical="bottom"/>
    </xf>
    <xf borderId="8" fillId="7" fontId="5" numFmtId="1" xfId="0" applyAlignment="1" applyBorder="1" applyFont="1" applyNumberFormat="1">
      <alignment horizontal="center" vertical="bottom"/>
    </xf>
    <xf borderId="0" fillId="8" fontId="4" numFmtId="170" xfId="0" applyAlignment="1" applyFont="1" applyNumberFormat="1">
      <alignment horizontal="left" readingOrder="0" vertical="center"/>
    </xf>
    <xf borderId="9" fillId="8" fontId="5" numFmtId="167" xfId="0" applyAlignment="1" applyBorder="1" applyFont="1" applyNumberFormat="1">
      <alignment readingOrder="0" vertical="center"/>
    </xf>
    <xf borderId="0" fillId="8" fontId="5" numFmtId="167" xfId="0" applyAlignment="1" applyFont="1" applyNumberFormat="1">
      <alignment readingOrder="0" vertical="center"/>
    </xf>
    <xf borderId="9" fillId="8" fontId="5" numFmtId="1" xfId="0" applyAlignment="1" applyBorder="1" applyFont="1" applyNumberFormat="1">
      <alignment horizontal="center" readingOrder="0" vertical="center"/>
    </xf>
    <xf borderId="10" fillId="8" fontId="5" numFmtId="10" xfId="0" applyAlignment="1" applyBorder="1" applyFont="1" applyNumberFormat="1">
      <alignment horizontal="center" vertical="center"/>
    </xf>
    <xf borderId="0" fillId="7" fontId="10" numFmtId="0" xfId="0" applyAlignment="1" applyFont="1">
      <alignment horizontal="left" readingOrder="0" vertical="center"/>
    </xf>
    <xf borderId="0" fillId="7" fontId="4" numFmtId="170" xfId="0" applyAlignment="1" applyFont="1" applyNumberFormat="1">
      <alignment horizontal="left" readingOrder="0" vertical="center"/>
    </xf>
    <xf borderId="0" fillId="7" fontId="7" numFmtId="0" xfId="0" applyAlignment="1" applyFont="1">
      <alignment horizontal="center" readingOrder="0" vertical="center"/>
    </xf>
    <xf borderId="8" fillId="7" fontId="7" numFmtId="2" xfId="0" applyAlignment="1" applyBorder="1" applyFont="1" applyNumberFormat="1">
      <alignment horizontal="center" readingOrder="0" vertical="center"/>
    </xf>
    <xf borderId="0" fillId="7" fontId="7" numFmtId="164" xfId="0" applyAlignment="1" applyFont="1" applyNumberFormat="1">
      <alignment horizontal="center" vertical="center"/>
    </xf>
    <xf borderId="0" fillId="7" fontId="7" numFmtId="0" xfId="0" applyAlignment="1" applyFont="1">
      <alignment horizontal="right" readingOrder="0" vertical="center"/>
    </xf>
    <xf borderId="0" fillId="7" fontId="8" numFmtId="165" xfId="0" applyAlignment="1" applyFont="1" applyNumberFormat="1">
      <alignment horizontal="left" vertical="center"/>
    </xf>
    <xf borderId="9" fillId="7" fontId="5" numFmtId="167" xfId="0" applyAlignment="1" applyBorder="1" applyFont="1" applyNumberFormat="1">
      <alignment readingOrder="0" vertical="center"/>
    </xf>
    <xf borderId="0" fillId="7" fontId="5" numFmtId="167" xfId="0" applyAlignment="1" applyFont="1" applyNumberFormat="1">
      <alignment readingOrder="0" vertical="center"/>
    </xf>
    <xf borderId="9" fillId="7" fontId="7" numFmtId="1" xfId="0" applyAlignment="1" applyBorder="1" applyFont="1" applyNumberFormat="1">
      <alignment horizontal="center" readingOrder="0" vertical="center"/>
    </xf>
    <xf borderId="9" fillId="7" fontId="7" numFmtId="165" xfId="0" applyAlignment="1" applyBorder="1" applyFont="1" applyNumberFormat="1">
      <alignment horizontal="center" readingOrder="0" vertical="center"/>
    </xf>
    <xf borderId="0" fillId="7" fontId="7" numFmtId="1" xfId="0" applyAlignment="1" applyFont="1" applyNumberFormat="1">
      <alignment horizontal="center" readingOrder="0" vertical="center"/>
    </xf>
    <xf borderId="0" fillId="7" fontId="7" numFmtId="165" xfId="0" applyAlignment="1" applyFont="1" applyNumberFormat="1">
      <alignment horizontal="center" readingOrder="0" vertical="center"/>
    </xf>
    <xf borderId="7" fillId="7" fontId="5" numFmtId="1" xfId="0" applyAlignment="1" applyBorder="1" applyFont="1" applyNumberFormat="1">
      <alignment horizontal="center" vertical="center"/>
    </xf>
    <xf borderId="9" fillId="7" fontId="5" numFmtId="1" xfId="0" applyAlignment="1" applyBorder="1" applyFont="1" applyNumberFormat="1">
      <alignment horizontal="center" vertical="center"/>
    </xf>
    <xf borderId="0" fillId="7" fontId="5" numFmtId="10" xfId="0" applyAlignment="1" applyFont="1" applyNumberFormat="1">
      <alignment horizontal="center" vertical="center"/>
    </xf>
    <xf borderId="10" fillId="7" fontId="5" numFmtId="10" xfId="0" applyAlignment="1" applyBorder="1" applyFont="1" applyNumberFormat="1">
      <alignment horizontal="center"/>
    </xf>
    <xf borderId="0" fillId="7" fontId="5" numFmtId="165" xfId="0" applyAlignment="1" applyFont="1" applyNumberFormat="1">
      <alignment horizontal="center" readingOrder="0" vertical="center"/>
    </xf>
    <xf borderId="7" fillId="7" fontId="9" numFmtId="168" xfId="0" applyAlignment="1" applyBorder="1" applyFont="1" applyNumberFormat="1">
      <alignment horizontal="center" readingOrder="0" vertical="center"/>
    </xf>
    <xf borderId="9" fillId="7" fontId="5" numFmtId="165" xfId="0" applyAlignment="1" applyBorder="1" applyFont="1" applyNumberFormat="1">
      <alignment horizontal="center" readingOrder="0" vertical="center"/>
    </xf>
    <xf borderId="0" fillId="7" fontId="9" numFmtId="168" xfId="0" applyAlignment="1" applyFont="1" applyNumberFormat="1">
      <alignment horizontal="center" readingOrder="0" vertical="center"/>
    </xf>
    <xf borderId="0" fillId="7" fontId="5" numFmtId="169" xfId="0" applyAlignment="1" applyFont="1" applyNumberFormat="1">
      <alignment horizontal="center" readingOrder="0" vertical="center"/>
    </xf>
    <xf borderId="0" fillId="7" fontId="5" numFmtId="3" xfId="0" applyAlignment="1" applyFont="1" applyNumberFormat="1">
      <alignment horizontal="center" readingOrder="0" vertical="center"/>
    </xf>
    <xf borderId="8" fillId="7" fontId="5" numFmtId="1" xfId="0" applyAlignment="1" applyBorder="1" applyFont="1" applyNumberFormat="1">
      <alignment horizontal="center" vertical="center"/>
    </xf>
    <xf borderId="10" fillId="7" fontId="5" numFmtId="10" xfId="0" applyAlignment="1" applyBorder="1" applyFont="1" applyNumberFormat="1">
      <alignment horizontal="center" vertical="center"/>
    </xf>
    <xf borderId="0" fillId="7" fontId="4" numFmtId="2" xfId="0" applyAlignment="1" applyFont="1" applyNumberFormat="1">
      <alignment horizontal="center" readingOrder="0" vertical="center"/>
    </xf>
    <xf borderId="0" fillId="7" fontId="4" numFmtId="0" xfId="0" applyFont="1"/>
    <xf borderId="0" fillId="7" fontId="6" numFmtId="170" xfId="0" applyFont="1" applyNumberFormat="1"/>
    <xf borderId="7" fillId="7" fontId="6" numFmtId="166" xfId="0" applyBorder="1" applyFont="1" applyNumberFormat="1"/>
    <xf borderId="7" fillId="7" fontId="6" numFmtId="168" xfId="0" applyBorder="1" applyFont="1" applyNumberFormat="1"/>
    <xf borderId="8" fillId="7" fontId="6" numFmtId="1" xfId="0" applyAlignment="1" applyBorder="1" applyFont="1" applyNumberFormat="1">
      <alignment vertical="bottom"/>
    </xf>
    <xf borderId="7" fillId="8" fontId="5" numFmtId="0" xfId="0" applyAlignment="1" applyBorder="1" applyFont="1">
      <alignment horizontal="center" readingOrder="0" vertical="center"/>
    </xf>
    <xf borderId="9" fillId="9" fontId="5" numFmtId="165" xfId="0" applyAlignment="1" applyBorder="1" applyFont="1" applyNumberFormat="1">
      <alignment horizontal="center" vertical="center"/>
    </xf>
    <xf borderId="0" fillId="9" fontId="7" numFmtId="1" xfId="0" applyAlignment="1" applyFont="1" applyNumberFormat="1">
      <alignment horizontal="center" vertical="center"/>
    </xf>
    <xf borderId="0" fillId="9" fontId="9" numFmtId="0" xfId="0" applyAlignment="1" applyFont="1">
      <alignment horizontal="center" vertical="center"/>
    </xf>
    <xf borderId="7" fillId="0" fontId="5" numFmtId="0" xfId="0" applyAlignment="1" applyBorder="1" applyFont="1">
      <alignment horizontal="center" readingOrder="0" vertical="center"/>
    </xf>
    <xf borderId="9" fillId="7" fontId="5" numFmtId="165" xfId="0" applyAlignment="1" applyBorder="1" applyFont="1" applyNumberFormat="1">
      <alignment horizontal="center" vertical="center"/>
    </xf>
    <xf borderId="0" fillId="7" fontId="7" numFmtId="1" xfId="0" applyAlignment="1" applyFont="1" applyNumberFormat="1">
      <alignment horizontal="center" vertical="center"/>
    </xf>
    <xf borderId="0" fillId="7" fontId="9" numFmtId="0" xfId="0" applyAlignment="1" applyFont="1">
      <alignment horizontal="center" vertical="center"/>
    </xf>
    <xf borderId="7" fillId="8" fontId="5" numFmtId="10" xfId="0" applyAlignment="1" applyBorder="1" applyFont="1" applyNumberFormat="1">
      <alignment horizontal="center" readingOrder="0" vertical="center"/>
    </xf>
    <xf borderId="0" fillId="0" fontId="5" numFmtId="166" xfId="0" applyAlignment="1" applyFont="1" applyNumberFormat="1">
      <alignment horizontal="center" readingOrder="0" vertical="center"/>
    </xf>
    <xf borderId="7" fillId="0" fontId="5" numFmtId="10" xfId="0" applyAlignment="1" applyBorder="1" applyFont="1" applyNumberFormat="1">
      <alignment horizontal="center" readingOrder="0" vertical="center"/>
    </xf>
    <xf borderId="7" fillId="8" fontId="5" numFmtId="171" xfId="0" applyAlignment="1" applyBorder="1" applyFont="1" applyNumberFormat="1">
      <alignment horizontal="center" readingOrder="0" vertical="center"/>
    </xf>
    <xf borderId="7" fillId="8" fontId="5" numFmtId="2" xfId="0" applyAlignment="1" applyBorder="1" applyFont="1" applyNumberFormat="1">
      <alignment horizontal="center" vertical="center"/>
    </xf>
    <xf borderId="7" fillId="0" fontId="5" numFmtId="171" xfId="0" applyAlignment="1" applyBorder="1" applyFont="1" applyNumberFormat="1">
      <alignment horizontal="center" readingOrder="0" vertical="center"/>
    </xf>
    <xf borderId="0" fillId="0" fontId="9" numFmtId="165" xfId="0" applyAlignment="1" applyFont="1" applyNumberFormat="1">
      <alignment horizontal="center" readingOrder="0" vertical="center"/>
    </xf>
    <xf borderId="0" fillId="0" fontId="9" numFmtId="171" xfId="0" applyAlignment="1" applyFont="1" applyNumberFormat="1">
      <alignment horizontal="center" readingOrder="0" vertical="center"/>
    </xf>
    <xf borderId="0" fillId="8" fontId="5" numFmtId="165" xfId="0" applyAlignment="1" applyFont="1" applyNumberFormat="1">
      <alignment horizontal="center" readingOrder="0" vertical="center"/>
    </xf>
    <xf borderId="0" fillId="9" fontId="9" numFmtId="165" xfId="0" applyAlignment="1" applyFont="1" applyNumberFormat="1">
      <alignment horizontal="center" readingOrder="0" vertical="center"/>
    </xf>
    <xf borderId="0" fillId="9" fontId="9" numFmtId="171" xfId="0" applyAlignment="1" applyFont="1" applyNumberFormat="1">
      <alignment horizontal="center" readingOrder="0" vertical="center"/>
    </xf>
    <xf borderId="7" fillId="0" fontId="5" numFmtId="0" xfId="0" applyAlignment="1" applyBorder="1" applyFont="1">
      <alignment horizontal="center" vertical="center"/>
    </xf>
    <xf borderId="7" fillId="8" fontId="5" numFmtId="0" xfId="0" applyAlignment="1" applyBorder="1" applyFont="1">
      <alignment horizontal="center" vertical="center"/>
    </xf>
    <xf borderId="0" fillId="0" fontId="7" numFmtId="164" xfId="0" applyAlignment="1" applyFont="1" applyNumberFormat="1">
      <alignment horizontal="center" readingOrder="0" vertical="center"/>
    </xf>
    <xf borderId="11" fillId="13" fontId="11" numFmtId="165" xfId="0" applyAlignment="1" applyBorder="1" applyFill="1" applyFont="1" applyNumberFormat="1">
      <alignment horizontal="center" readingOrder="0"/>
    </xf>
    <xf borderId="12" fillId="13" fontId="11" numFmtId="1" xfId="0" applyAlignment="1" applyBorder="1" applyFont="1" applyNumberFormat="1">
      <alignment horizontal="right" readingOrder="0"/>
    </xf>
    <xf borderId="0" fillId="8" fontId="5" numFmtId="10" xfId="0" applyAlignment="1" applyFont="1" applyNumberFormat="1">
      <alignment horizontal="center" readingOrder="0" vertical="center"/>
    </xf>
    <xf borderId="0" fillId="7" fontId="11" numFmtId="165" xfId="0" applyAlignment="1" applyFont="1" applyNumberFormat="1">
      <alignment horizontal="left" readingOrder="0"/>
    </xf>
    <xf borderId="0" fillId="8" fontId="4" numFmtId="0" xfId="0" applyAlignment="1" applyFont="1">
      <alignment horizontal="center" vertical="center"/>
    </xf>
    <xf borderId="7" fillId="0" fontId="9" numFmtId="168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0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7" fillId="8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0" fillId="9" fontId="5" numFmtId="165" xfId="0" applyAlignment="1" applyFont="1" applyNumberFormat="1">
      <alignment horizontal="center" vertical="center"/>
    </xf>
    <xf borderId="7" fillId="0" fontId="9" numFmtId="171" xfId="0" applyAlignment="1" applyBorder="1" applyFont="1" applyNumberFormat="1">
      <alignment horizontal="center" readingOrder="0" vertical="center"/>
    </xf>
    <xf borderId="7" fillId="9" fontId="9" numFmtId="171" xfId="0" applyAlignment="1" applyBorder="1" applyFont="1" applyNumberFormat="1">
      <alignment horizontal="center" readingOrder="0" vertical="center"/>
    </xf>
    <xf borderId="0" fillId="8" fontId="5" numFmtId="0" xfId="0" applyAlignment="1" applyFont="1">
      <alignment horizontal="center" vertical="center"/>
    </xf>
    <xf borderId="0" fillId="9" fontId="9" numFmtId="0" xfId="0" applyAlignment="1" applyFont="1">
      <alignment horizontal="center" readingOrder="0" vertical="center"/>
    </xf>
    <xf borderId="8" fillId="8" fontId="7" numFmtId="1" xfId="0" applyAlignment="1" applyBorder="1" applyFont="1" applyNumberFormat="1">
      <alignment horizontal="center" readingOrder="0" vertical="center"/>
    </xf>
    <xf borderId="0" fillId="8" fontId="5" numFmtId="1" xfId="0" applyAlignment="1" applyFont="1" applyNumberFormat="1">
      <alignment vertical="center"/>
    </xf>
    <xf borderId="0" fillId="0" fontId="5" numFmtId="164" xfId="0" applyAlignment="1" applyFont="1" applyNumberFormat="1">
      <alignment vertical="center"/>
    </xf>
    <xf borderId="0" fillId="8" fontId="5" numFmtId="164" xfId="0" applyAlignment="1" applyFont="1" applyNumberFormat="1">
      <alignment vertical="center"/>
    </xf>
    <xf borderId="0" fillId="8" fontId="7" numFmtId="0" xfId="0" applyAlignment="1" applyFont="1">
      <alignment horizontal="right" vertical="center"/>
    </xf>
    <xf borderId="0" fillId="0" fontId="5" numFmtId="0" xfId="0" applyAlignment="1" applyFont="1">
      <alignment horizontal="left" readingOrder="0" vertical="center"/>
    </xf>
    <xf borderId="0" fillId="8" fontId="5" numFmtId="0" xfId="0" applyAlignment="1" applyFont="1">
      <alignment horizontal="left" readingOrder="0" vertical="center"/>
    </xf>
    <xf borderId="0" fillId="0" fontId="7" numFmtId="0" xfId="0" applyAlignment="1" applyFont="1">
      <alignment horizontal="right" vertical="center"/>
    </xf>
    <xf borderId="0" fillId="8" fontId="5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8" fillId="8" fontId="7" numFmtId="2" xfId="0" applyAlignment="1" applyBorder="1" applyFont="1" applyNumberFormat="1">
      <alignment horizontal="center" vertical="center"/>
    </xf>
    <xf borderId="7" fillId="9" fontId="9" numFmtId="0" xfId="0" applyAlignment="1" applyBorder="1" applyFont="1">
      <alignment horizontal="center" readingOrder="0" vertical="center"/>
    </xf>
    <xf borderId="0" fillId="10" fontId="5" numFmtId="165" xfId="0" applyAlignment="1" applyFont="1" applyNumberFormat="1">
      <alignment horizontal="center" readingOrder="0" vertical="center"/>
    </xf>
    <xf borderId="0" fillId="10" fontId="7" numFmtId="1" xfId="0" applyAlignment="1" applyFont="1" applyNumberFormat="1">
      <alignment horizontal="center" readingOrder="0" vertical="center"/>
    </xf>
    <xf borderId="0" fillId="8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8" fillId="0" fontId="7" numFmtId="2" xfId="0" applyAlignment="1" applyBorder="1" applyFont="1" applyNumberFormat="1">
      <alignment horizontal="center" vertical="center"/>
    </xf>
    <xf borderId="13" fillId="8" fontId="5" numFmtId="166" xfId="0" applyAlignment="1" applyBorder="1" applyFont="1" applyNumberFormat="1">
      <alignment horizontal="center"/>
    </xf>
    <xf borderId="0" fillId="8" fontId="4" numFmtId="0" xfId="0" applyFont="1"/>
    <xf borderId="10" fillId="8" fontId="7" numFmtId="0" xfId="0" applyAlignment="1" applyBorder="1" applyFont="1">
      <alignment horizontal="center"/>
    </xf>
    <xf borderId="0" fillId="0" fontId="4" numFmtId="0" xfId="0" applyFont="1"/>
    <xf borderId="10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/>
    </xf>
    <xf borderId="7" fillId="8" fontId="5" numFmtId="0" xfId="0" applyAlignment="1" applyBorder="1" applyFont="1">
      <alignment horizontal="center"/>
    </xf>
    <xf borderId="10" fillId="8" fontId="7" numFmtId="0" xfId="0" applyAlignment="1" applyBorder="1" applyFont="1">
      <alignment horizontal="center" readingOrder="0"/>
    </xf>
    <xf borderId="0" fillId="0" fontId="12" numFmtId="0" xfId="0" applyAlignment="1" applyFont="1">
      <alignment horizontal="center" readingOrder="0"/>
    </xf>
    <xf borderId="9" fillId="8" fontId="7" numFmtId="0" xfId="0" applyAlignment="1" applyBorder="1" applyFont="1">
      <alignment horizontal="center" readingOrder="0" vertical="center"/>
    </xf>
    <xf borderId="14" fillId="0" fontId="13" numFmtId="0" xfId="0" applyAlignment="1" applyBorder="1" applyFont="1">
      <alignment horizontal="center" readingOrder="0" vertical="center"/>
    </xf>
    <xf borderId="15" fillId="0" fontId="13" numFmtId="0" xfId="0" applyAlignment="1" applyBorder="1" applyFont="1">
      <alignment horizontal="center" readingOrder="0" shrinkToFit="0" vertical="center" wrapText="1"/>
    </xf>
    <xf borderId="16" fillId="0" fontId="13" numFmtId="0" xfId="0" applyAlignment="1" applyBorder="1" applyFont="1">
      <alignment horizontal="center" readingOrder="0" vertical="center"/>
    </xf>
    <xf borderId="15" fillId="0" fontId="13" numFmtId="0" xfId="0" applyAlignment="1" applyBorder="1" applyFont="1">
      <alignment horizontal="center" readingOrder="0" vertical="center"/>
    </xf>
    <xf borderId="16" fillId="0" fontId="13" numFmtId="2" xfId="0" applyAlignment="1" applyBorder="1" applyFont="1" applyNumberFormat="1">
      <alignment horizontal="center" readingOrder="0" vertical="center"/>
    </xf>
    <xf borderId="17" fillId="0" fontId="13" numFmtId="0" xfId="0" applyAlignment="1" applyBorder="1" applyFont="1">
      <alignment horizontal="center" readingOrder="0" vertical="center"/>
    </xf>
    <xf borderId="3" fillId="0" fontId="13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 vertical="center"/>
    </xf>
    <xf borderId="5" fillId="0" fontId="13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horizontal="center" readingOrder="0" vertical="center"/>
    </xf>
    <xf borderId="0" fillId="0" fontId="12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14" fillId="12" fontId="15" numFmtId="0" xfId="0" applyAlignment="1" applyBorder="1" applyFont="1">
      <alignment horizontal="center" readingOrder="0" vertical="center"/>
    </xf>
    <xf borderId="15" fillId="12" fontId="16" numFmtId="172" xfId="0" applyAlignment="1" applyBorder="1" applyFont="1" applyNumberFormat="1">
      <alignment horizontal="center" readingOrder="0" vertical="center"/>
    </xf>
    <xf borderId="16" fillId="12" fontId="16" numFmtId="172" xfId="0" applyAlignment="1" applyBorder="1" applyFont="1" applyNumberFormat="1">
      <alignment horizontal="center" readingOrder="0" vertical="center"/>
    </xf>
    <xf borderId="16" fillId="12" fontId="16" numFmtId="172" xfId="0" applyAlignment="1" applyBorder="1" applyFont="1" applyNumberFormat="1">
      <alignment horizontal="center" vertical="center"/>
    </xf>
    <xf borderId="16" fillId="12" fontId="16" numFmtId="10" xfId="0" applyAlignment="1" applyBorder="1" applyFont="1" applyNumberFormat="1">
      <alignment horizontal="center" vertical="center"/>
    </xf>
    <xf borderId="17" fillId="0" fontId="16" numFmtId="10" xfId="0" applyAlignment="1" applyBorder="1" applyFont="1" applyNumberFormat="1">
      <alignment horizontal="center" vertical="center"/>
    </xf>
    <xf borderId="0" fillId="12" fontId="16" numFmtId="0" xfId="0" applyAlignment="1" applyFont="1">
      <alignment horizontal="center" readingOrder="0" vertical="center"/>
    </xf>
    <xf borderId="7" fillId="12" fontId="16" numFmtId="10" xfId="0" applyAlignment="1" applyBorder="1" applyFont="1" applyNumberFormat="1">
      <alignment horizontal="left" vertical="center"/>
    </xf>
    <xf borderId="9" fillId="12" fontId="16" numFmtId="10" xfId="0" applyAlignment="1" applyBorder="1" applyFont="1" applyNumberFormat="1">
      <alignment horizontal="left" vertical="center"/>
    </xf>
    <xf borderId="0" fillId="12" fontId="16" numFmtId="10" xfId="0" applyAlignment="1" applyFont="1" applyNumberFormat="1">
      <alignment horizontal="left" vertical="center"/>
    </xf>
    <xf borderId="0" fillId="12" fontId="16" numFmtId="4" xfId="0" applyAlignment="1" applyFont="1" applyNumberFormat="1">
      <alignment horizontal="right" vertical="center"/>
    </xf>
    <xf borderId="0" fillId="12" fontId="16" numFmtId="10" xfId="0" applyAlignment="1" applyFont="1" applyNumberFormat="1">
      <alignment horizontal="right" vertical="center"/>
    </xf>
    <xf borderId="7" fillId="12" fontId="16" numFmtId="10" xfId="0" applyAlignment="1" applyBorder="1" applyFont="1" applyNumberFormat="1">
      <alignment horizontal="right" vertical="center"/>
    </xf>
    <xf borderId="10" fillId="0" fontId="14" numFmtId="1" xfId="0" applyAlignment="1" applyBorder="1" applyFont="1" applyNumberFormat="1">
      <alignment horizontal="center" vertical="center"/>
    </xf>
    <xf borderId="0" fillId="0" fontId="17" numFmtId="164" xfId="0" applyAlignment="1" applyFont="1" applyNumberFormat="1">
      <alignment readingOrder="0" vertical="center"/>
    </xf>
    <xf borderId="14" fillId="0" fontId="17" numFmtId="0" xfId="0" applyAlignment="1" applyBorder="1" applyFont="1">
      <alignment readingOrder="0" vertical="center"/>
    </xf>
    <xf borderId="18" fillId="0" fontId="16" numFmtId="0" xfId="0" applyAlignment="1" applyBorder="1" applyFont="1">
      <alignment vertical="center"/>
    </xf>
    <xf borderId="8" fillId="0" fontId="15" numFmtId="0" xfId="0" applyAlignment="1" applyBorder="1" applyFont="1">
      <alignment horizontal="center" readingOrder="0" vertical="center"/>
    </xf>
    <xf borderId="9" fillId="0" fontId="16" numFmtId="172" xfId="0" applyAlignment="1" applyBorder="1" applyFont="1" applyNumberFormat="1">
      <alignment horizontal="center" readingOrder="0" vertical="center"/>
    </xf>
    <xf borderId="0" fillId="0" fontId="16" numFmtId="172" xfId="0" applyAlignment="1" applyFont="1" applyNumberFormat="1">
      <alignment horizontal="center" vertical="center"/>
    </xf>
    <xf borderId="0" fillId="12" fontId="16" numFmtId="10" xfId="0" applyAlignment="1" applyFont="1" applyNumberFormat="1">
      <alignment horizontal="center" vertical="center"/>
    </xf>
    <xf borderId="19" fillId="0" fontId="18" numFmtId="0" xfId="0" applyBorder="1" applyFont="1"/>
    <xf borderId="0" fillId="0" fontId="16" numFmtId="0" xfId="0" applyAlignment="1" applyFont="1">
      <alignment horizontal="center" readingOrder="0" vertical="center"/>
    </xf>
    <xf borderId="7" fillId="0" fontId="16" numFmtId="10" xfId="0" applyAlignment="1" applyBorder="1" applyFont="1" applyNumberFormat="1">
      <alignment horizontal="left" vertical="center"/>
    </xf>
    <xf borderId="9" fillId="0" fontId="16" numFmtId="10" xfId="0" applyAlignment="1" applyBorder="1" applyFont="1" applyNumberFormat="1">
      <alignment horizontal="left" vertical="center"/>
    </xf>
    <xf borderId="0" fillId="0" fontId="16" numFmtId="10" xfId="0" applyAlignment="1" applyFont="1" applyNumberFormat="1">
      <alignment horizontal="left" vertical="center"/>
    </xf>
    <xf borderId="0" fillId="0" fontId="16" numFmtId="4" xfId="0" applyAlignment="1" applyFont="1" applyNumberFormat="1">
      <alignment horizontal="right" vertical="center"/>
    </xf>
    <xf borderId="0" fillId="0" fontId="16" numFmtId="10" xfId="0" applyAlignment="1" applyFont="1" applyNumberFormat="1">
      <alignment horizontal="right" vertical="center"/>
    </xf>
    <xf borderId="7" fillId="0" fontId="16" numFmtId="10" xfId="0" applyAlignment="1" applyBorder="1" applyFont="1" applyNumberFormat="1">
      <alignment horizontal="right" vertical="center"/>
    </xf>
    <xf borderId="8" fillId="14" fontId="17" numFmtId="0" xfId="0" applyAlignment="1" applyBorder="1" applyFill="1" applyFont="1">
      <alignment readingOrder="0" vertical="center"/>
    </xf>
    <xf borderId="20" fillId="14" fontId="16" numFmtId="10" xfId="0" applyAlignment="1" applyBorder="1" applyFont="1" applyNumberFormat="1">
      <alignment vertical="center"/>
    </xf>
    <xf borderId="8" fillId="12" fontId="15" numFmtId="0" xfId="0" applyAlignment="1" applyBorder="1" applyFont="1">
      <alignment horizontal="center" readingOrder="0" vertical="center"/>
    </xf>
    <xf borderId="9" fillId="12" fontId="16" numFmtId="172" xfId="0" applyAlignment="1" applyBorder="1" applyFont="1" applyNumberFormat="1">
      <alignment horizontal="center" readingOrder="0" vertical="center"/>
    </xf>
    <xf borderId="0" fillId="12" fontId="16" numFmtId="172" xfId="0" applyAlignment="1" applyFont="1" applyNumberFormat="1">
      <alignment horizontal="center" vertical="center"/>
    </xf>
    <xf borderId="8" fillId="0" fontId="17" numFmtId="0" xfId="0" applyAlignment="1" applyBorder="1" applyFont="1">
      <alignment readingOrder="0" vertical="center"/>
    </xf>
    <xf borderId="20" fillId="0" fontId="16" numFmtId="10" xfId="0" applyAlignment="1" applyBorder="1" applyFont="1" applyNumberFormat="1">
      <alignment vertical="center"/>
    </xf>
    <xf borderId="0" fillId="0" fontId="16" numFmtId="172" xfId="0" applyAlignment="1" applyFont="1" applyNumberFormat="1">
      <alignment horizontal="center" readingOrder="0" vertical="center"/>
    </xf>
    <xf borderId="0" fillId="12" fontId="16" numFmtId="172" xfId="0" applyAlignment="1" applyFont="1" applyNumberFormat="1">
      <alignment horizontal="center" readingOrder="0" vertical="center"/>
    </xf>
    <xf borderId="8" fillId="0" fontId="13" numFmtId="0" xfId="0" applyAlignment="1" applyBorder="1" applyFont="1">
      <alignment readingOrder="0" vertical="center"/>
    </xf>
    <xf borderId="20" fillId="0" fontId="14" numFmtId="10" xfId="0" applyAlignment="1" applyBorder="1" applyFont="1" applyNumberFormat="1">
      <alignment vertical="center"/>
    </xf>
    <xf borderId="8" fillId="14" fontId="13" numFmtId="0" xfId="0" applyAlignment="1" applyBorder="1" applyFont="1">
      <alignment readingOrder="0" vertical="center"/>
    </xf>
    <xf borderId="20" fillId="14" fontId="14" numFmtId="3" xfId="0" applyAlignment="1" applyBorder="1" applyFont="1" applyNumberFormat="1">
      <alignment vertical="center"/>
    </xf>
    <xf borderId="21" fillId="0" fontId="13" numFmtId="0" xfId="0" applyAlignment="1" applyBorder="1" applyFont="1">
      <alignment readingOrder="0" vertical="center"/>
    </xf>
    <xf borderId="22" fillId="0" fontId="14" numFmtId="10" xfId="0" applyAlignment="1" applyBorder="1" applyFont="1" applyNumberFormat="1">
      <alignment vertical="center"/>
    </xf>
    <xf borderId="0" fillId="0" fontId="13" numFmtId="0" xfId="0" applyAlignment="1" applyFont="1">
      <alignment horizontal="center" readingOrder="0" vertical="center"/>
    </xf>
    <xf borderId="23" fillId="9" fontId="13" numFmtId="0" xfId="0" applyBorder="1" applyFont="1"/>
    <xf borderId="24" fillId="9" fontId="14" numFmtId="10" xfId="0" applyAlignment="1" applyBorder="1" applyFont="1" applyNumberFormat="1">
      <alignment vertical="center"/>
    </xf>
    <xf borderId="0" fillId="0" fontId="14" numFmtId="166" xfId="0" applyAlignment="1" applyFont="1" applyNumberFormat="1">
      <alignment horizontal="center" vertical="center"/>
    </xf>
    <xf borderId="25" fillId="0" fontId="13" numFmtId="0" xfId="0" applyBorder="1" applyFont="1"/>
    <xf borderId="10" fillId="0" fontId="14" numFmtId="10" xfId="0" applyAlignment="1" applyBorder="1" applyFont="1" applyNumberFormat="1">
      <alignment vertical="center"/>
    </xf>
    <xf borderId="8" fillId="12" fontId="19" numFmtId="0" xfId="0" applyAlignment="1" applyBorder="1" applyFont="1">
      <alignment horizontal="center" readingOrder="0" vertical="center"/>
    </xf>
    <xf borderId="25" fillId="9" fontId="13" numFmtId="0" xfId="0" applyAlignment="1" applyBorder="1" applyFont="1">
      <alignment readingOrder="0" vertical="center"/>
    </xf>
    <xf borderId="10" fillId="9" fontId="14" numFmtId="10" xfId="0" applyAlignment="1" applyBorder="1" applyFont="1" applyNumberFormat="1">
      <alignment vertical="center"/>
    </xf>
    <xf borderId="21" fillId="0" fontId="15" numFmtId="0" xfId="0" applyAlignment="1" applyBorder="1" applyFont="1">
      <alignment horizontal="center" readingOrder="0" vertical="center"/>
    </xf>
    <xf borderId="26" fillId="0" fontId="16" numFmtId="172" xfId="0" applyAlignment="1" applyBorder="1" applyFont="1" applyNumberFormat="1">
      <alignment horizontal="center" readingOrder="0" vertical="center"/>
    </xf>
    <xf borderId="27" fillId="0" fontId="16" numFmtId="172" xfId="0" applyAlignment="1" applyBorder="1" applyFont="1" applyNumberFormat="1">
      <alignment horizontal="center" vertical="center"/>
    </xf>
    <xf borderId="27" fillId="12" fontId="16" numFmtId="10" xfId="0" applyAlignment="1" applyBorder="1" applyFont="1" applyNumberFormat="1">
      <alignment horizontal="center" vertical="center"/>
    </xf>
    <xf borderId="28" fillId="0" fontId="18" numFmtId="0" xfId="0" applyBorder="1" applyFont="1"/>
    <xf borderId="27" fillId="0" fontId="16" numFmtId="0" xfId="0" applyAlignment="1" applyBorder="1" applyFont="1">
      <alignment horizontal="center" readingOrder="0" vertical="center"/>
    </xf>
    <xf borderId="29" fillId="0" fontId="16" numFmtId="10" xfId="0" applyAlignment="1" applyBorder="1" applyFont="1" applyNumberFormat="1">
      <alignment horizontal="left" vertical="center"/>
    </xf>
    <xf borderId="26" fillId="0" fontId="16" numFmtId="10" xfId="0" applyAlignment="1" applyBorder="1" applyFont="1" applyNumberFormat="1">
      <alignment horizontal="left" vertical="center"/>
    </xf>
    <xf borderId="27" fillId="0" fontId="16" numFmtId="10" xfId="0" applyAlignment="1" applyBorder="1" applyFont="1" applyNumberFormat="1">
      <alignment horizontal="left" vertical="center"/>
    </xf>
    <xf borderId="27" fillId="0" fontId="16" numFmtId="4" xfId="0" applyAlignment="1" applyBorder="1" applyFont="1" applyNumberFormat="1">
      <alignment horizontal="right" vertical="center"/>
    </xf>
    <xf borderId="27" fillId="0" fontId="16" numFmtId="10" xfId="0" applyAlignment="1" applyBorder="1" applyFont="1" applyNumberFormat="1">
      <alignment horizontal="right" vertical="center"/>
    </xf>
    <xf borderId="29" fillId="0" fontId="16" numFmtId="10" xfId="0" applyAlignment="1" applyBorder="1" applyFont="1" applyNumberFormat="1">
      <alignment horizontal="right" vertical="center"/>
    </xf>
    <xf borderId="30" fillId="0" fontId="14" numFmtId="1" xfId="0" applyAlignment="1" applyBorder="1" applyFont="1" applyNumberFormat="1">
      <alignment horizontal="center" vertical="center"/>
    </xf>
    <xf borderId="31" fillId="0" fontId="13" numFmtId="0" xfId="0" applyAlignment="1" applyBorder="1" applyFont="1">
      <alignment readingOrder="0" vertical="center"/>
    </xf>
    <xf borderId="30" fillId="0" fontId="14" numFmtId="10" xfId="0" applyAlignment="1" applyBorder="1" applyFont="1" applyNumberFormat="1">
      <alignment vertical="center"/>
    </xf>
    <xf borderId="0" fillId="0" fontId="14" numFmtId="0" xfId="0" applyAlignment="1" applyFont="1">
      <alignment horizontal="center" readingOrder="0" vertical="center"/>
    </xf>
    <xf borderId="0" fillId="0" fontId="14" numFmtId="4" xfId="0" applyAlignment="1" applyFont="1" applyNumberFormat="1">
      <alignment horizontal="center" readingOrder="0" vertical="center"/>
    </xf>
    <xf borderId="0" fillId="0" fontId="14" numFmtId="4" xfId="0" applyAlignment="1" applyFont="1" applyNumberFormat="1">
      <alignment horizontal="center" vertical="center"/>
    </xf>
    <xf borderId="0" fillId="0" fontId="14" numFmtId="0" xfId="0" applyAlignment="1" applyFont="1">
      <alignment horizontal="center" readingOrder="0" vertical="center"/>
    </xf>
    <xf borderId="0" fillId="0" fontId="14" numFmtId="10" xfId="0" applyAlignment="1" applyFont="1" applyNumberFormat="1">
      <alignment horizontal="center" vertical="center"/>
    </xf>
    <xf borderId="0" fillId="0" fontId="14" numFmtId="165" xfId="0" applyAlignment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3" numFmtId="4" xfId="0" applyAlignment="1" applyFont="1" applyNumberFormat="1">
      <alignment horizontal="center" vertical="center"/>
    </xf>
    <xf borderId="0" fillId="0" fontId="13" numFmtId="0" xfId="0" applyAlignment="1" applyFont="1">
      <alignment horizontal="right" readingOrder="0" vertical="center"/>
    </xf>
    <xf borderId="0" fillId="0" fontId="13" numFmtId="3" xfId="0" applyAlignment="1" applyFont="1" applyNumberFormat="1">
      <alignment horizontal="center" vertical="center"/>
    </xf>
    <xf borderId="32" fillId="0" fontId="13" numFmtId="4" xfId="0" applyAlignment="1" applyBorder="1" applyFont="1" applyNumberFormat="1">
      <alignment horizontal="center" vertical="center"/>
    </xf>
    <xf borderId="33" fillId="0" fontId="18" numFmtId="0" xfId="0" applyBorder="1" applyFont="1"/>
    <xf borderId="34" fillId="8" fontId="13" numFmtId="0" xfId="0" applyAlignment="1" applyBorder="1" applyFont="1">
      <alignment horizontal="center" readingOrder="0" vertical="center"/>
    </xf>
    <xf borderId="0" fillId="0" fontId="20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13" numFmtId="9" xfId="0" applyAlignment="1" applyFont="1" applyNumberFormat="1">
      <alignment horizontal="right" vertical="center"/>
    </xf>
    <xf borderId="0" fillId="0" fontId="12" numFmtId="10" xfId="0" applyAlignment="1" applyFont="1" applyNumberFormat="1">
      <alignment horizontal="left" vertical="center"/>
    </xf>
    <xf borderId="8" fillId="9" fontId="13" numFmtId="4" xfId="0" applyAlignment="1" applyBorder="1" applyFont="1" applyNumberFormat="1">
      <alignment horizontal="center" vertical="bottom"/>
    </xf>
    <xf borderId="7" fillId="0" fontId="18" numFmtId="0" xfId="0" applyBorder="1" applyFont="1"/>
    <xf borderId="35" fillId="9" fontId="14" numFmtId="173" xfId="0" applyAlignment="1" applyBorder="1" applyFont="1" applyNumberFormat="1">
      <alignment horizontal="center" vertical="bottom"/>
    </xf>
    <xf borderId="0" fillId="0" fontId="13" numFmtId="10" xfId="0" applyAlignment="1" applyFont="1" applyNumberFormat="1">
      <alignment vertical="center"/>
    </xf>
    <xf borderId="0" fillId="0" fontId="14" numFmtId="4" xfId="0" applyAlignment="1" applyFont="1" applyNumberFormat="1">
      <alignment vertical="center"/>
    </xf>
    <xf borderId="8" fillId="0" fontId="13" numFmtId="4" xfId="0" applyAlignment="1" applyBorder="1" applyFont="1" applyNumberFormat="1">
      <alignment horizontal="center" vertical="bottom"/>
    </xf>
    <xf borderId="20" fillId="0" fontId="14" numFmtId="173" xfId="0" applyAlignment="1" applyBorder="1" applyFont="1" applyNumberFormat="1">
      <alignment horizontal="center" vertical="bottom"/>
    </xf>
    <xf borderId="20" fillId="9" fontId="14" numFmtId="10" xfId="0" applyAlignment="1" applyBorder="1" applyFont="1" applyNumberFormat="1">
      <alignment horizontal="center" vertical="bottom"/>
    </xf>
    <xf borderId="20" fillId="0" fontId="14" numFmtId="10" xfId="0" applyAlignment="1" applyBorder="1" applyFont="1" applyNumberFormat="1">
      <alignment horizontal="center" vertical="bottom"/>
    </xf>
    <xf borderId="0" fillId="0" fontId="12" numFmtId="0" xfId="0" applyAlignment="1" applyFont="1">
      <alignment readingOrder="0" vertical="center"/>
    </xf>
    <xf borderId="8" fillId="9" fontId="13" numFmtId="0" xfId="0" applyAlignment="1" applyBorder="1" applyFont="1">
      <alignment shrinkToFit="0" vertical="bottom" wrapText="0"/>
    </xf>
    <xf borderId="7" fillId="9" fontId="6" numFmtId="0" xfId="0" applyAlignment="1" applyBorder="1" applyFont="1">
      <alignment vertical="bottom"/>
    </xf>
    <xf borderId="20" fillId="9" fontId="14" numFmtId="3" xfId="0" applyAlignment="1" applyBorder="1" applyFont="1" applyNumberFormat="1">
      <alignment horizontal="center" vertical="bottom"/>
    </xf>
    <xf borderId="21" fillId="0" fontId="13" numFmtId="0" xfId="0" applyAlignment="1" applyBorder="1" applyFont="1">
      <alignment horizontal="center" vertical="bottom"/>
    </xf>
    <xf borderId="29" fillId="0" fontId="18" numFmtId="0" xfId="0" applyBorder="1" applyFont="1"/>
    <xf borderId="22" fillId="0" fontId="14" numFmtId="164" xfId="0" applyAlignment="1" applyBorder="1" applyFont="1" applyNumberFormat="1">
      <alignment horizontal="center" vertical="bottom"/>
    </xf>
    <xf borderId="14" fillId="15" fontId="21" numFmtId="0" xfId="0" applyBorder="1" applyFill="1" applyFont="1"/>
    <xf borderId="16" fillId="0" fontId="21" numFmtId="0" xfId="0" applyAlignment="1" applyBorder="1" applyFont="1">
      <alignment readingOrder="0"/>
    </xf>
    <xf borderId="24" fillId="0" fontId="18" numFmtId="0" xfId="0" applyBorder="1" applyFont="1"/>
    <xf borderId="21" fillId="16" fontId="21" numFmtId="0" xfId="0" applyBorder="1" applyFill="1" applyFont="1"/>
    <xf borderId="27" fillId="0" fontId="21" numFmtId="0" xfId="0" applyAlignment="1" applyBorder="1" applyFont="1">
      <alignment readingOrder="0"/>
    </xf>
    <xf borderId="30" fillId="0" fontId="18" numFmtId="0" xfId="0" applyBorder="1" applyFont="1"/>
    <xf borderId="4" fillId="5" fontId="4" numFmtId="0" xfId="0" applyAlignment="1" applyBorder="1" applyFont="1">
      <alignment horizontal="center" readingOrder="0"/>
    </xf>
    <xf borderId="3" fillId="0" fontId="18" numFmtId="0" xfId="0" applyBorder="1" applyFont="1"/>
    <xf borderId="6" fillId="0" fontId="18" numFmtId="0" xfId="0" applyBorder="1" applyFont="1"/>
    <xf borderId="0" fillId="0" fontId="5" numFmtId="0" xfId="0" applyFont="1"/>
    <xf borderId="4" fillId="5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vertical="bottom"/>
    </xf>
    <xf borderId="0" fillId="16" fontId="5" numFmtId="0" xfId="0" applyAlignment="1" applyFont="1">
      <alignment horizontal="left" readingOrder="0" vertical="bottom"/>
    </xf>
    <xf borderId="0" fillId="0" fontId="5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10" fillId="16" fontId="5" numFmtId="10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10" fillId="0" fontId="5" numFmtId="0" xfId="0" applyAlignment="1" applyBorder="1" applyFont="1">
      <alignment vertical="bottom"/>
    </xf>
    <xf borderId="0" fillId="15" fontId="5" numFmtId="10" xfId="0" applyAlignment="1" applyFont="1" applyNumberFormat="1">
      <alignment horizontal="right" vertical="bottom"/>
    </xf>
    <xf borderId="0" fillId="15" fontId="5" numFmtId="165" xfId="0" applyAlignment="1" applyFont="1" applyNumberFormat="1">
      <alignment horizontal="center" vertical="bottom"/>
    </xf>
    <xf borderId="0" fillId="15" fontId="5" numFmtId="1" xfId="0" applyAlignment="1" applyFont="1" applyNumberFormat="1">
      <alignment horizontal="left" vertical="bottom"/>
    </xf>
    <xf borderId="21" fillId="0" fontId="4" numFmtId="0" xfId="0" applyAlignment="1" applyBorder="1" applyFont="1">
      <alignment vertical="bottom"/>
    </xf>
    <xf borderId="27" fillId="15" fontId="5" numFmtId="10" xfId="0" applyAlignment="1" applyBorder="1" applyFont="1" applyNumberFormat="1">
      <alignment horizontal="left" vertical="bottom"/>
    </xf>
    <xf borderId="27" fillId="0" fontId="5" numFmtId="0" xfId="0" applyAlignment="1" applyBorder="1" applyFont="1">
      <alignment vertical="bottom"/>
    </xf>
    <xf borderId="30" fillId="0" fontId="5" numFmtId="0" xfId="0" applyAlignment="1" applyBorder="1" applyFont="1">
      <alignment vertical="bottom"/>
    </xf>
    <xf borderId="0" fillId="0" fontId="21" numFmtId="0" xfId="0" applyAlignment="1" applyFont="1">
      <alignment horizontal="center" readingOrder="0" vertical="center"/>
    </xf>
    <xf borderId="0" fillId="0" fontId="2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4" numFmtId="0" xfId="0" applyAlignment="1" applyFont="1">
      <alignment vertical="center"/>
    </xf>
    <xf borderId="0" fillId="0" fontId="14" numFmtId="0" xfId="0" applyAlignment="1" applyFont="1">
      <alignment horizontal="right" readingOrder="0" vertical="center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4" numFmtId="0" xfId="0" applyAlignment="1" applyFont="1">
      <alignment horizontal="right" vertical="center"/>
    </xf>
  </cellXfs>
  <cellStyles count="1">
    <cellStyle xfId="0" name="Normal" builtinId="0"/>
  </cellStyles>
  <dxfs count="8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>
        <b/>
        <i/>
        <color rgb="FFFF00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Comic Sans MS"/>
              </a:defRPr>
            </a:pPr>
            <a:r>
              <a:rPr b="1">
                <a:solidFill>
                  <a:srgbClr val="000000"/>
                </a:solidFill>
                <a:latin typeface="Comic Sans MS"/>
              </a:rPr>
              <a:t>% P/L vs.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DDashboard!$F$1</c:f>
            </c:strRef>
          </c:tx>
          <c:spPr>
            <a:solidFill>
              <a:srgbClr val="6FA8DC"/>
            </a:solidFill>
            <a:ln cmpd="sng">
              <a:solidFill>
                <a:srgbClr val="000000">
                  <a:alpha val="0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1">
                    <a:solidFill>
                      <a:srgbClr val="0000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DDashboard!$A$2:$A$13</c:f>
            </c:strRef>
          </c:cat>
          <c:val>
            <c:numRef>
              <c:f>DDashboard!$F$2:$F$13</c:f>
              <c:numCache/>
            </c:numRef>
          </c:val>
        </c:ser>
        <c:axId val="668107838"/>
        <c:axId val="898236782"/>
      </c:barChart>
      <c:catAx>
        <c:axId val="668107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8236782"/>
      </c:catAx>
      <c:valAx>
        <c:axId val="8982367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81078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E1CD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Comic Sans MS"/>
              </a:defRPr>
            </a:pPr>
            <a:r>
              <a:rPr b="1" i="0">
                <a:solidFill>
                  <a:srgbClr val="000000"/>
                </a:solidFill>
                <a:latin typeface="Comic Sans MS"/>
              </a:rPr>
              <a:t>Number of Trades &amp; % Win Rate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# Trades</c:v>
          </c:tx>
          <c:spPr>
            <a:solidFill>
              <a:srgbClr val="4A86E8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1">
                    <a:solidFill>
                      <a:srgbClr val="0000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DDashboard!$A$2:$A$13</c:f>
            </c:strRef>
          </c:cat>
          <c:val>
            <c:numRef>
              <c:f>DDashboard!$I$2:$I$13</c:f>
              <c:numCache/>
            </c:numRef>
          </c:val>
        </c:ser>
        <c:ser>
          <c:idx val="1"/>
          <c:order val="1"/>
          <c:tx>
            <c:v>% Win</c:v>
          </c:tx>
          <c:spPr>
            <a:solidFill>
              <a:srgbClr val="6AA84F"/>
            </a:solidFill>
            <a:ln cmpd="sng">
              <a:solidFill>
                <a:srgbClr val="000000">
                  <a:alpha val="90196"/>
                </a:srgbClr>
              </a:solidFill>
              <a:prstDash val="sysDot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DDashboard!$A$2:$A$13</c:f>
            </c:strRef>
          </c:cat>
          <c:val>
            <c:numRef>
              <c:f>DDashboard!$J$2:$J$13</c:f>
              <c:numCache/>
            </c:numRef>
          </c:val>
        </c:ser>
        <c:axId val="1475441511"/>
        <c:axId val="1642598227"/>
      </c:bar3DChart>
      <c:catAx>
        <c:axId val="1475441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598227"/>
      </c:catAx>
      <c:valAx>
        <c:axId val="164259822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5441511"/>
      </c:valAx>
    </c:plotArea>
    <c:legend>
      <c:legendPos val="r"/>
      <c:legendEntry>
        <c:idx val="0"/>
        <c:txPr>
          <a:bodyPr/>
          <a:lstStyle/>
          <a:p>
            <a:pPr lvl="0">
              <a:defRPr i="1">
                <a:latin typeface="Comic Sans MS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i="1">
                <a:latin typeface="Comic Sans MS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E1CD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Comic Sans MS"/>
              </a:defRPr>
            </a:pPr>
            <a:r>
              <a:rPr b="1" i="0">
                <a:solidFill>
                  <a:srgbClr val="000000"/>
                </a:solidFill>
                <a:latin typeface="Comic Sans MS"/>
              </a:rPr>
              <a:t>Avg Gain &amp; Avg Loss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Gain</c:v>
          </c:tx>
          <c:spPr>
            <a:solidFill>
              <a:srgbClr val="6AA84F">
                <a:alpha val="50196"/>
              </a:srgbClr>
            </a:solidFill>
            <a:ln cmpd="sng">
              <a:solidFill>
                <a:srgbClr val="6AA84F">
                  <a:alpha val="100000"/>
                </a:srgbClr>
              </a:solidFill>
              <a:prstDash val="sysDot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0000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DDashboard!$A$8:$A$13</c:f>
            </c:strRef>
          </c:cat>
          <c:val>
            <c:numRef>
              <c:f>DDashboard!$K$8:$K$13</c:f>
              <c:numCache/>
            </c:numRef>
          </c:val>
        </c:ser>
        <c:ser>
          <c:idx val="1"/>
          <c:order val="1"/>
          <c:tx>
            <c:v>Avg Loss</c:v>
          </c:tx>
          <c:spPr>
            <a:solidFill>
              <a:srgbClr val="FF0000">
                <a:alpha val="30196"/>
              </a:srgbClr>
            </a:solidFill>
            <a:ln cmpd="sng">
              <a:solidFill>
                <a:srgbClr val="FF0000">
                  <a:alpha val="100000"/>
                </a:srgbClr>
              </a:solidFill>
              <a:prstDash val="sysDot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>
                    <a:solidFill>
                      <a:srgbClr val="CC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DDashboard!$A$8:$A$13</c:f>
            </c:strRef>
          </c:cat>
          <c:val>
            <c:numRef>
              <c:f>DDashboard!$L$8:$L$13</c:f>
              <c:numCache/>
            </c:numRef>
          </c:val>
        </c:ser>
        <c:axId val="1896637936"/>
        <c:axId val="303655710"/>
      </c:barChart>
      <c:catAx>
        <c:axId val="1896637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FF"/>
                </a:solidFill>
                <a:latin typeface="+mn-lt"/>
              </a:defRPr>
            </a:pPr>
          </a:p>
        </c:txPr>
        <c:crossAx val="303655710"/>
      </c:catAx>
      <c:valAx>
        <c:axId val="303655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6637936"/>
      </c:valAx>
    </c:plotArea>
    <c:legend>
      <c:legendPos val="r"/>
      <c:legendEntry>
        <c:idx val="0"/>
        <c:txPr>
          <a:bodyPr/>
          <a:lstStyle/>
          <a:p>
            <a:pPr lvl="0">
              <a:defRPr i="1">
                <a:latin typeface="Comic Sans MS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i="1">
                <a:latin typeface="Comic Sans MS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Comic Sans MS"/>
              </a:defRPr>
            </a:pPr>
            <a:r>
              <a:rPr b="1">
                <a:solidFill>
                  <a:srgbClr val="000000"/>
                </a:solidFill>
                <a:latin typeface="Comic Sans MS"/>
              </a:rPr>
              <a:t>R multiples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DDashboard!$M$1</c:f>
            </c:strRef>
          </c:tx>
          <c:spPr>
            <a:solidFill>
              <a:srgbClr val="C27BA0">
                <a:alpha val="70196"/>
              </a:srgbClr>
            </a:solidFill>
            <a:ln cmpd="sng">
              <a:solidFill>
                <a:srgbClr val="000000">
                  <a:alpha val="0"/>
                </a:srgbClr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5"/>
          </c:dPt>
          <c:dLbls>
            <c:numFmt formatCode="General" sourceLinked="1"/>
            <c:txPr>
              <a:bodyPr/>
              <a:lstStyle/>
              <a:p>
                <a:pPr lvl="0">
                  <a:defRPr b="1" i="1">
                    <a:solidFill>
                      <a:srgbClr val="0000FF"/>
                    </a:solidFill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DDashboard!$A$2:$A$13</c:f>
            </c:strRef>
          </c:cat>
          <c:val>
            <c:numRef>
              <c:f>DDashboard!$M$2:$M$13</c:f>
              <c:numCache/>
            </c:numRef>
          </c:val>
        </c:ser>
        <c:axId val="200277419"/>
        <c:axId val="744572097"/>
      </c:barChart>
      <c:catAx>
        <c:axId val="200277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572097"/>
      </c:catAx>
      <c:valAx>
        <c:axId val="744572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2774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E1CD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Chart4.png"/><Relationship Id="rId9" Type="http://schemas.openxmlformats.org/officeDocument/2006/relationships/chart" Target="../charts/chart4.xml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44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419100</xdr:colOff>
      <xdr:row>44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419100</xdr:colOff>
      <xdr:row>63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190500</xdr:colOff>
      <xdr:row>63</xdr:row>
      <xdr:rowOff>19050</xdr:rowOff>
    </xdr:from>
    <xdr:ext cx="5715000" cy="3533775"/>
    <xdr:pic>
      <xdr:nvPicPr>
        <xdr:cNvPr id="312119336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419100</xdr:colOff>
      <xdr:row>100</xdr:row>
      <xdr:rowOff>9525</xdr:rowOff>
    </xdr:from>
    <xdr:ext cx="5715000" cy="3533775"/>
    <xdr:pic>
      <xdr:nvPicPr>
        <xdr:cNvPr id="862730089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100</xdr:row>
      <xdr:rowOff>9525</xdr:rowOff>
    </xdr:from>
    <xdr:ext cx="5715000" cy="3533775"/>
    <xdr:pic>
      <xdr:nvPicPr>
        <xdr:cNvPr id="1267102934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81</xdr:row>
      <xdr:rowOff>114300</xdr:rowOff>
    </xdr:from>
    <xdr:ext cx="5715000" cy="3533775"/>
    <xdr:pic>
      <xdr:nvPicPr>
        <xdr:cNvPr id="1690840968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22</xdr:row>
      <xdr:rowOff>104775</xdr:rowOff>
    </xdr:from>
    <xdr:ext cx="13992225" cy="4371975"/>
    <xdr:pic>
      <xdr:nvPicPr>
        <xdr:cNvPr id="56677681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419100</xdr:colOff>
      <xdr:row>81</xdr:row>
      <xdr:rowOff>114300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4.0" ySplit="1.0" topLeftCell="O2" activePane="bottomRight" state="frozen"/>
      <selection activeCell="O1" sqref="O1" pane="topRight"/>
      <selection activeCell="A2" sqref="A2" pane="bottomLeft"/>
      <selection activeCell="O2" sqref="O2" pane="bottomRight"/>
    </sheetView>
  </sheetViews>
  <sheetFormatPr customHeight="1" defaultColWidth="12.63" defaultRowHeight="15.75"/>
  <cols>
    <col customWidth="1" min="1" max="1" width="6.38"/>
    <col customWidth="1" min="2" max="2" width="9.75"/>
    <col customWidth="1" min="3" max="3" width="13.25"/>
    <col customWidth="1" min="4" max="4" width="6.5"/>
    <col customWidth="1" min="5" max="5" width="9.25"/>
    <col customWidth="1" min="6" max="6" width="8.25"/>
    <col customWidth="1" min="7" max="7" width="7.25"/>
    <col customWidth="1" min="8" max="9" width="4.88"/>
    <col customWidth="1" min="10" max="10" width="7.0"/>
    <col customWidth="1" min="11" max="11" width="8.38"/>
    <col customWidth="1" min="12" max="12" width="14.5"/>
    <col customWidth="1" min="13" max="13" width="10.0"/>
    <col customWidth="1" min="14" max="14" width="8.0"/>
    <col customWidth="1" min="15" max="15" width="10.13"/>
    <col customWidth="1" min="16" max="16" width="5.0"/>
    <col customWidth="1" min="17" max="17" width="7.5"/>
    <col customWidth="1" min="18" max="18" width="10.5"/>
    <col customWidth="1" min="19" max="19" width="5.88"/>
    <col customWidth="1" min="20" max="20" width="7.25"/>
    <col customWidth="1" min="21" max="21" width="8.63"/>
    <col customWidth="1" min="22" max="22" width="10.63"/>
    <col customWidth="1" min="23" max="23" width="7.88"/>
    <col customWidth="1" min="24" max="24" width="9.63"/>
    <col customWidth="1" min="25" max="25" width="6.0"/>
    <col customWidth="1" min="26" max="26" width="8.88"/>
    <col customWidth="1" min="27" max="27" width="9.5"/>
    <col customWidth="1" min="28" max="28" width="6.25"/>
    <col customWidth="1" min="29" max="29" width="6.75"/>
    <col customWidth="1" min="30" max="30" width="7.88"/>
    <col customWidth="1" min="31" max="31" width="6.38"/>
    <col customWidth="1" min="32" max="32" width="6.75"/>
    <col customWidth="1" min="33" max="33" width="6.38"/>
    <col customWidth="1" min="34" max="34" width="6.88"/>
    <col customWidth="1" min="35" max="35" width="7.5"/>
    <col customWidth="1" min="36" max="36" width="6.88"/>
    <col customWidth="1" min="37" max="37" width="8.0"/>
    <col customWidth="1" min="38" max="38" width="8.25"/>
    <col customWidth="1" min="39" max="40" width="8.63"/>
    <col customWidth="1" min="41" max="41" width="10.0"/>
    <col customWidth="1" min="42" max="42" width="9.0"/>
    <col customWidth="1" min="43" max="43" width="8.63"/>
    <col customWidth="1" min="44" max="45" width="7.75"/>
    <col customWidth="1" min="46" max="46" width="9.5"/>
    <col customWidth="1" min="47" max="47" width="24.38"/>
    <col customWidth="1" min="48" max="48" width="24.63"/>
    <col customWidth="1" min="49" max="49" width="21.88"/>
    <col customWidth="1" min="50" max="50" width="72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7" t="s">
        <v>12</v>
      </c>
      <c r="N1" s="10" t="s">
        <v>13</v>
      </c>
      <c r="O1" s="11" t="s">
        <v>14</v>
      </c>
      <c r="P1" s="12" t="s">
        <v>15</v>
      </c>
      <c r="Q1" s="13" t="s">
        <v>16</v>
      </c>
      <c r="R1" s="14" t="s">
        <v>17</v>
      </c>
      <c r="S1" s="12" t="s">
        <v>18</v>
      </c>
      <c r="T1" s="13" t="s">
        <v>19</v>
      </c>
      <c r="U1" s="15" t="s">
        <v>20</v>
      </c>
      <c r="V1" s="16" t="s">
        <v>21</v>
      </c>
      <c r="W1" s="17" t="s">
        <v>22</v>
      </c>
      <c r="X1" s="18" t="s">
        <v>23</v>
      </c>
      <c r="Y1" s="19" t="s">
        <v>24</v>
      </c>
      <c r="Z1" s="20" t="s">
        <v>1</v>
      </c>
      <c r="AA1" s="18" t="s">
        <v>25</v>
      </c>
      <c r="AB1" s="19" t="s">
        <v>26</v>
      </c>
      <c r="AC1" s="21" t="s">
        <v>1</v>
      </c>
      <c r="AD1" s="22" t="s">
        <v>27</v>
      </c>
      <c r="AE1" s="19" t="s">
        <v>28</v>
      </c>
      <c r="AF1" s="21" t="s">
        <v>1</v>
      </c>
      <c r="AG1" s="23" t="s">
        <v>29</v>
      </c>
      <c r="AH1" s="3" t="s">
        <v>30</v>
      </c>
      <c r="AI1" s="24" t="s">
        <v>31</v>
      </c>
      <c r="AJ1" s="2" t="s">
        <v>32</v>
      </c>
      <c r="AK1" s="25" t="s">
        <v>33</v>
      </c>
      <c r="AL1" s="3" t="s">
        <v>34</v>
      </c>
      <c r="AM1" s="26" t="s">
        <v>35</v>
      </c>
      <c r="AN1" s="3" t="s">
        <v>36</v>
      </c>
      <c r="AO1" s="25" t="s">
        <v>37</v>
      </c>
      <c r="AP1" s="27" t="s">
        <v>38</v>
      </c>
      <c r="AQ1" s="28" t="s">
        <v>39</v>
      </c>
      <c r="AR1" s="29" t="s">
        <v>40</v>
      </c>
      <c r="AS1" s="30" t="s">
        <v>41</v>
      </c>
      <c r="AT1" s="31" t="s">
        <v>42</v>
      </c>
      <c r="AU1" s="31" t="s">
        <v>43</v>
      </c>
      <c r="AV1" s="31" t="s">
        <v>44</v>
      </c>
      <c r="AW1" s="31" t="s">
        <v>45</v>
      </c>
      <c r="AX1" s="32" t="s">
        <v>46</v>
      </c>
    </row>
    <row r="2">
      <c r="A2" s="33">
        <v>1.0</v>
      </c>
      <c r="B2" s="34">
        <v>45839.0</v>
      </c>
      <c r="C2" s="35" t="s">
        <v>47</v>
      </c>
      <c r="D2" s="36"/>
      <c r="E2" s="37"/>
      <c r="F2" s="38">
        <v>804.5</v>
      </c>
      <c r="G2" s="39">
        <f t="shared" ref="G2:G208" si="1">IF(ISBLANK(O2), F2, (N2*F2+O2*P2+R2*S2)/(N2+P2+S2))</f>
        <v>804.5</v>
      </c>
      <c r="H2" s="40">
        <v>797.0</v>
      </c>
      <c r="I2" s="37"/>
      <c r="J2" s="41" t="s">
        <v>48</v>
      </c>
      <c r="K2" s="42">
        <f>IFERROR(__xludf.DUMMYFUNCTION("IF(ISBLANK(C2), """", GOOGLEFINANCE(""NSE:"" &amp; C2,""price""))"),1507.0)</f>
        <v>1507</v>
      </c>
      <c r="L2" s="43" t="s">
        <v>49</v>
      </c>
      <c r="M2" s="44" t="s">
        <v>50</v>
      </c>
      <c r="N2" s="45">
        <v>50.0</v>
      </c>
      <c r="O2" s="46"/>
      <c r="P2" s="47"/>
      <c r="Q2" s="48"/>
      <c r="R2" s="49"/>
      <c r="S2" s="47"/>
      <c r="T2" s="48"/>
      <c r="U2" s="50">
        <f t="shared" ref="U2:U20" si="2">if(G2*N2&lt;&gt;0, F2*N2+O2*P2+R2*S2, "")</f>
        <v>40225</v>
      </c>
      <c r="V2" s="51">
        <f>IFS(AND(B2&gt;=DATE(2025,1,1), B2&lt;=DATE(2025,1,31)), U2/DDashboard!$C$2, AND(B2&gt;=DATE(2025,2,1), B2&lt;=DATE(2025,2,28)), U2/DDashboard!$C$3, AND(B2&gt;=DATE(2025,3,1), B2&lt;=DATE(2025,3,31)), U2/DDashboard!$C$4, AND(B2&gt;=DATE(2025,4,1), B2&lt;=DATE(2025,4,30)), U2/DDashboard!$C$5,AND(B2&gt;=DATE(2025,5,1), B2&lt;=DATE(2025,5,31)), U2/DDashboard!$C$6,AND(B2&gt;=DATE(2025,6,1), B2&lt;=DATE(2025,6,30)), U2/DDashboard!$C$7,AND(B2&gt;=DATE(2025,7,1), B2&lt;=DATE(2025,7,31)), U2/DDashboard!$C$8,AND(B2&gt;=DATE(2025,8,1), B2&lt;=DATE(2025,8,31)), U2/DDashboard!$C$9,AND(B2&gt;=DATE(2025,9,1), B2&lt;=DATE(2025,9,30)), U2/DDashboard!$C$10,AND(B2&gt;=DATE(2025,10,1), B2&lt;=DATE(2025,10,31)), U2/DDashboard!$C$11,AND(B2&gt;=DATE(2025,11,1), B2&lt;=DATE(2025,11,30)), U2/DDashboard!$C$12, AND(B2&gt;=DATE(2025,12,1), B2&lt;=DATE(2025,12,31)), U2/DDashboard!$C$13, True, "")
</f>
        <v>0.040225</v>
      </c>
      <c r="W2" s="52">
        <f t="shared" ref="W2:W208" si="3">IFS(ISBLANK(H2),"",AND(ISNUMBER(H2),J2="B"),(F2-H2)/F2,AND(ISNUMBER(H2), J2="S"),-(F2-H2)/F2)</f>
        <v>0.009322560597</v>
      </c>
      <c r="X2" s="53">
        <v>797.0</v>
      </c>
      <c r="Y2" s="54">
        <v>50.0</v>
      </c>
      <c r="Z2" s="34">
        <v>45839.0</v>
      </c>
      <c r="AA2" s="49"/>
      <c r="AB2" s="47"/>
      <c r="AC2" s="55"/>
      <c r="AD2" s="46"/>
      <c r="AE2" s="47"/>
      <c r="AF2" s="55"/>
      <c r="AG2" s="56" t="str">
        <f t="shared" ref="AG2:AG208" si="4">IF(N2+P2+S2-AH2&lt;&gt;0,N2+P2+S2-AH2,"")</f>
        <v/>
      </c>
      <c r="AH2" s="57">
        <f t="shared" ref="AH2:AH208" si="5">if(Y2+AB2+AE2&lt;&gt;0, Y2+AB2+AE2, "")</f>
        <v>50</v>
      </c>
      <c r="AI2" s="58">
        <f t="shared" ref="AI2:AI14" si="6">IF(ISBLANK(E2), IF(ISBLANK(X2), K2, IFERROR(IF(ISBLANK(C2),X2*Y2+AA2*AB2+AD2*AE2+AG2*K2,X2*Y2+AA2*AB2+AD2*AE2+AG2*G2)/(Y2+AB2+AE2+AG2) , "")),(X2*Y2+AA2*AB2+AD2*AE2+AG2*G2)/(Y2+AB2+AE2+AG2))</f>
        <v>797</v>
      </c>
      <c r="AJ2" s="59">
        <f t="shared" ref="AJ2:AJ208" si="7">IFERROR(IF(J2="B",(AI2-G2)/G2,(G2-AI2)/G2), "")</f>
        <v>-0.009322560597</v>
      </c>
      <c r="AK2" s="60">
        <f t="shared" ref="AK2:AK14" si="8">IFERROR(IFS(AND(J2="B",ISBLANK(I2)),(G2-H2)*AG2,AND(J2="B",ISNUMBER(I2)),(G2-I2)*AG2,AND(J2="S",ISBLANK(I2)),(H2-G2)*AG2,AND(J2="S",ISNUMBER(I2)),(I2-G2)*AG2),"")</f>
        <v>0</v>
      </c>
      <c r="AL2" s="58">
        <f t="shared" ref="AL2:AL21" si="9">IFERROR(AJ2/W2, "")</f>
        <v>-1</v>
      </c>
      <c r="AM2" s="61">
        <f t="shared" ref="AM2:AM4" si="10">IF(AN2="", "", IF(AN2="Closed", 
    IF(ISNUMBER(AF2), AF2-B2,
        IF(ISNUMBER(AC2), AC2-B2,
            IF(ISNUMBER(Z2), Z2-B2, "")
        )
    ), 
    TODAY()-B2))</f>
        <v>0</v>
      </c>
      <c r="AN2" s="62" t="str">
        <f t="shared" ref="AN2:AN208" si="11">IF(ISBLANK(N2), "", IF((N2+P2+S2-AH2)/N2=0, "Closed", (N2+P2+S2-AH2)/(N2+P2+S2)))
</f>
        <v>Closed</v>
      </c>
      <c r="AO2" s="63">
        <f t="shared" ref="AO2:AO208" si="12">IFS(AND(ISBLANK(AF2),ISBLANK(AC2),AN2="Closed"),Z2, AND(ISBLANK(AF2),AN2="Closed", AC2&lt;&gt;""),AC2,AND(AN2="Closed", AF2&lt;&gt;""),AF2, AN2&lt;&gt;"Closed", "")</f>
        <v>45839</v>
      </c>
      <c r="AP2" s="64">
        <f t="shared" ref="AP2:AP208" si="13">IF(ISBLANK(N2), "", X2*Y2+AA2*AB2+AD2*AE2)</f>
        <v>39850</v>
      </c>
      <c r="AQ2" s="57">
        <f t="shared" ref="AQ2:AQ14" si="14">IFS(AND(ISBLANK(D2),N2&lt;&gt;"",AN2="Closed",J2="B"),(AH2*AI2)-U2,AND(ISBLANK(D2),N2&lt;&gt;"",AN2&lt;&gt;"Closed",J2="B"),(X2*Y2+AA2*AB2+AD2*AE2+K2*AG2)-U2, AND(ISBLANK(D2),N2&lt;&gt;"",AN2="Closed",J2="S"),U2-(AH2*AI2),AND(ISBLANK(D2),N2&lt;&gt;"",AN2&lt;&gt;"Closed",J2="S"),U2-(X2*Y2+AA2*AB2+AD2*AE2+K2*AG2),AND(D2&lt;&gt;"",N2&lt;&gt;"",AH2&lt;&gt;"",AN2="Closed",J2="B"),(AH2*AI2)-(G2*(AG2+AH2)),AND(D2&lt;&gt;"",N2&lt;&gt;"",AH2&lt;&gt;"",AN2="Closed",J2="S"),(G2*(AG2+AH2))-(AH2*AI2),AND(D2&lt;&gt;"",N2&lt;&gt;"",AN2&lt;&gt;"Closed"),"",ISBLANK(B2),"")</f>
        <v>-375</v>
      </c>
      <c r="AR2" s="65">
        <f>IFS(AND(B2&gt;=DATE(2025,1,1), B2&lt;=DATE(2025,1,31)), AQ2/DDashboard!$C$2, AND(B2&gt;=DATE(2025,2,1), B2&lt;=DATE(2025,2,28)), AQ2/DDashboard!$C$3, AND(B2&gt;=DATE(2025,3,1), B2&lt;=DATE(2025,3,31)), AQ2/DDashboard!$C$4, AND(B2&gt;=DATE(2025,4,1), B2&lt;=DATE(2025,4,30)), AQ2/DDashboard!$C$5,AND(B2&gt;=DATE(2025,5,1), B2&lt;=DATE(2025,5,31)), AQ2/DDashboard!$C$6,AND(B2&gt;=DATE(2025,6,1), B2&lt;=DATE(2025,6,30)), AQ2/DDashboard!$C$7,AND(B2&gt;=DATE(2025,7,1), B2&lt;=DATE(2025,7,31)), AQ2/DDashboard!$C$8,AND(B2&gt;=DATE(2025,8,1), B2&lt;=DATE(2025,8,31)), AQ2/DDashboard!$C$9,AND(B2&gt;=DATE(2025,9,1), B2&lt;=DATE(2025,9,30)), AQ2/DDashboard!$C$10,AND(B2&gt;=DATE(2025,10,1), B2&lt;=DATE(2025,10,31)), AQ2/DDashboard!$C$11,AND(B2&gt;=DATE(2025,11,1), B2&lt;=DATE(2025,11,30)), AQ2/DDashboard!$C$12, AND(B2&gt;=DATE(2025,12,1), B2&lt;=DATE(2025,12,31)), AQ2/DDashboard!$C$13, True, "")
</f>
        <v>-0.000375</v>
      </c>
      <c r="AS2" s="66">
        <f t="array" ref="AS2">IF(ISBLANK(C2), "", SUM($AR2:AR$8)
)</f>
        <v>0.003415</v>
      </c>
      <c r="AT2" s="67" t="b">
        <v>0</v>
      </c>
      <c r="AU2" s="68" t="s">
        <v>7</v>
      </c>
      <c r="AV2" s="69" t="s">
        <v>51</v>
      </c>
      <c r="AW2" s="68" t="s">
        <v>52</v>
      </c>
      <c r="AX2" s="36"/>
    </row>
    <row r="3">
      <c r="A3" s="70">
        <v>2.0</v>
      </c>
      <c r="B3" s="71">
        <v>45839.0</v>
      </c>
      <c r="C3" s="72" t="s">
        <v>53</v>
      </c>
      <c r="D3" s="73"/>
      <c r="E3" s="74"/>
      <c r="F3" s="75">
        <v>67.93</v>
      </c>
      <c r="G3" s="76">
        <f t="shared" si="1"/>
        <v>67.93</v>
      </c>
      <c r="H3" s="77">
        <v>67.0</v>
      </c>
      <c r="I3" s="74"/>
      <c r="J3" s="78" t="s">
        <v>48</v>
      </c>
      <c r="K3" s="79">
        <f>IFERROR(__xludf.DUMMYFUNCTION("IF(ISBLANK(C3), """", GOOGLEFINANCE(""NSE:"" &amp; C3,""price""))"),28.36)</f>
        <v>28.36</v>
      </c>
      <c r="L3" s="80" t="s">
        <v>49</v>
      </c>
      <c r="M3" s="81" t="s">
        <v>50</v>
      </c>
      <c r="N3" s="82">
        <v>1000.0</v>
      </c>
      <c r="O3" s="83"/>
      <c r="P3" s="84"/>
      <c r="Q3" s="85"/>
      <c r="R3" s="86"/>
      <c r="S3" s="84"/>
      <c r="T3" s="85"/>
      <c r="U3" s="87">
        <f t="shared" si="2"/>
        <v>67930</v>
      </c>
      <c r="V3" s="88">
        <f>IFS(AND(B3&gt;=DATE(2025,1,1), B3&lt;=DATE(2025,1,31)), U3/DDashboard!$C$2, AND(B3&gt;=DATE(2025,2,1), B3&lt;=DATE(2025,2,28)), U3/DDashboard!$C$3, AND(B3&gt;=DATE(2025,3,1), B3&lt;=DATE(2025,3,31)), U3/DDashboard!$C$4, AND(B3&gt;=DATE(2025,4,1), B3&lt;=DATE(2025,4,30)), U3/DDashboard!$C$5,AND(B3&gt;=DATE(2025,5,1), B3&lt;=DATE(2025,5,31)), U3/DDashboard!$C$6,AND(B3&gt;=DATE(2025,6,1), B3&lt;=DATE(2025,6,30)), U3/DDashboard!$C$7,AND(B3&gt;=DATE(2025,7,1), B3&lt;=DATE(2025,7,31)), U3/DDashboard!$C$8,AND(B3&gt;=DATE(2025,8,1), B3&lt;=DATE(2025,8,31)), U3/DDashboard!$C$9,AND(B3&gt;=DATE(2025,9,1), B3&lt;=DATE(2025,9,30)), U3/DDashboard!$C$10,AND(B3&gt;=DATE(2025,10,1), B3&lt;=DATE(2025,10,31)), U3/DDashboard!$C$11,AND(B3&gt;=DATE(2025,11,1), B3&lt;=DATE(2025,11,30)), U3/DDashboard!$C$12, AND(B3&gt;=DATE(2025,12,1), B3&lt;=DATE(2025,12,31)), U3/DDashboard!$C$13, True, "")
</f>
        <v>0.06793</v>
      </c>
      <c r="W3" s="89">
        <f t="shared" si="3"/>
        <v>0.01369056382</v>
      </c>
      <c r="X3" s="90">
        <v>68.94</v>
      </c>
      <c r="Y3" s="91">
        <v>1000.0</v>
      </c>
      <c r="Z3" s="92">
        <v>45839.0</v>
      </c>
      <c r="AA3" s="93"/>
      <c r="AB3" s="94"/>
      <c r="AC3" s="95"/>
      <c r="AD3" s="96"/>
      <c r="AE3" s="94"/>
      <c r="AF3" s="95"/>
      <c r="AG3" s="97" t="str">
        <f t="shared" si="4"/>
        <v/>
      </c>
      <c r="AH3" s="98">
        <f t="shared" si="5"/>
        <v>1000</v>
      </c>
      <c r="AI3" s="99">
        <f t="shared" si="6"/>
        <v>68.94</v>
      </c>
      <c r="AJ3" s="100">
        <f t="shared" si="7"/>
        <v>0.01486824672</v>
      </c>
      <c r="AK3" s="101">
        <f t="shared" si="8"/>
        <v>0</v>
      </c>
      <c r="AL3" s="99">
        <f t="shared" si="9"/>
        <v>1.086021505</v>
      </c>
      <c r="AM3" s="102">
        <f t="shared" si="10"/>
        <v>0</v>
      </c>
      <c r="AN3" s="103" t="str">
        <f t="shared" si="11"/>
        <v>Closed</v>
      </c>
      <c r="AO3" s="104">
        <f t="shared" si="12"/>
        <v>45839</v>
      </c>
      <c r="AP3" s="105">
        <f t="shared" si="13"/>
        <v>68940</v>
      </c>
      <c r="AQ3" s="106">
        <f t="shared" si="14"/>
        <v>1010</v>
      </c>
      <c r="AR3" s="107">
        <f>IFS(AND(B3&gt;=DATE(2025,1,1), B3&lt;=DATE(2025,1,31)), AQ3/DDashboard!$C$2, AND(B3&gt;=DATE(2025,2,1), B3&lt;=DATE(2025,2,28)), AQ3/DDashboard!$C$3, AND(B3&gt;=DATE(2025,3,1), B3&lt;=DATE(2025,3,31)), AQ3/DDashboard!$C$4, AND(B3&gt;=DATE(2025,4,1), B3&lt;=DATE(2025,4,30)), AQ3/DDashboard!$C$5,AND(B3&gt;=DATE(2025,5,1), B3&lt;=DATE(2025,5,31)), AQ3/DDashboard!$C$6,AND(B3&gt;=DATE(2025,6,1), B3&lt;=DATE(2025,6,30)), AQ3/DDashboard!$C$7,AND(B3&gt;=DATE(2025,7,1), B3&lt;=DATE(2025,7,31)), AQ3/DDashboard!$C$8,AND(B3&gt;=DATE(2025,8,1), B3&lt;=DATE(2025,8,31)), AQ3/DDashboard!$C$9,AND(B3&gt;=DATE(2025,9,1), B3&lt;=DATE(2025,9,30)), AQ3/DDashboard!$C$10,AND(B3&gt;=DATE(2025,10,1), B3&lt;=DATE(2025,10,31)), AQ3/DDashboard!$C$11,AND(B3&gt;=DATE(2025,11,1), B3&lt;=DATE(2025,11,30)), AQ3/DDashboard!$C$12, AND(B3&gt;=DATE(2025,12,1), B3&lt;=DATE(2025,12,31)), AQ3/DDashboard!$C$13, True, "")
</f>
        <v>0.00101</v>
      </c>
      <c r="AS3" s="66">
        <f t="array" ref="AS3">IF(ISBLANK(C3), "", SUM($AR3:AR$8)
)</f>
        <v>0.00379</v>
      </c>
      <c r="AT3" s="68" t="b">
        <v>1</v>
      </c>
      <c r="AU3" s="68" t="s">
        <v>54</v>
      </c>
      <c r="AV3" s="108" t="s">
        <v>55</v>
      </c>
      <c r="AW3" s="68" t="s">
        <v>52</v>
      </c>
      <c r="AX3" s="73"/>
    </row>
    <row r="4">
      <c r="A4" s="33">
        <v>3.0</v>
      </c>
      <c r="B4" s="109">
        <v>45841.0</v>
      </c>
      <c r="C4" s="110" t="s">
        <v>56</v>
      </c>
      <c r="D4" s="111"/>
      <c r="E4" s="112"/>
      <c r="F4" s="113">
        <v>7217.0</v>
      </c>
      <c r="G4" s="114">
        <f t="shared" si="1"/>
        <v>7217</v>
      </c>
      <c r="H4" s="115">
        <v>7050.0</v>
      </c>
      <c r="I4" s="112"/>
      <c r="J4" s="116" t="s">
        <v>48</v>
      </c>
      <c r="K4" s="117">
        <f>IFERROR(__xludf.DUMMYFUNCTION("IF(ISBLANK(C4), """", GOOGLEFINANCE(""NSE:"" &amp; C4,""price""))"),7843.5)</f>
        <v>7843.5</v>
      </c>
      <c r="L4" s="118" t="s">
        <v>57</v>
      </c>
      <c r="M4" s="119" t="s">
        <v>58</v>
      </c>
      <c r="N4" s="120">
        <v>15.0</v>
      </c>
      <c r="O4" s="121"/>
      <c r="P4" s="122"/>
      <c r="Q4" s="123"/>
      <c r="R4" s="124"/>
      <c r="S4" s="122"/>
      <c r="T4" s="123"/>
      <c r="U4" s="125">
        <f t="shared" si="2"/>
        <v>108255</v>
      </c>
      <c r="V4" s="126">
        <f>IFS(AND(B4&gt;=DATE(2025,1,1), B4&lt;=DATE(2025,1,31)), U4/DDashboard!$C$2, AND(B4&gt;=DATE(2025,2,1), B4&lt;=DATE(2025,2,28)), U4/DDashboard!$C$3, AND(B4&gt;=DATE(2025,3,1), B4&lt;=DATE(2025,3,31)), U4/DDashboard!$C$4, AND(B4&gt;=DATE(2025,4,1), B4&lt;=DATE(2025,4,30)), U4/DDashboard!$C$5,AND(B4&gt;=DATE(2025,5,1), B4&lt;=DATE(2025,5,31)), U4/DDashboard!$C$6,AND(B4&gt;=DATE(2025,6,1), B4&lt;=DATE(2025,6,30)), U4/DDashboard!$C$7,AND(B4&gt;=DATE(2025,7,1), B4&lt;=DATE(2025,7,31)), U4/DDashboard!$C$8,AND(B4&gt;=DATE(2025,8,1), B4&lt;=DATE(2025,8,31)), U4/DDashboard!$C$9,AND(B4&gt;=DATE(2025,9,1), B4&lt;=DATE(2025,9,30)), U4/DDashboard!$C$10,AND(B4&gt;=DATE(2025,10,1), B4&lt;=DATE(2025,10,31)), U4/DDashboard!$C$11,AND(B4&gt;=DATE(2025,11,1), B4&lt;=DATE(2025,11,30)), U4/DDashboard!$C$12, AND(B4&gt;=DATE(2025,12,1), B4&lt;=DATE(2025,12,31)), U4/DDashboard!$C$13, True, "")
</f>
        <v>0.108255</v>
      </c>
      <c r="W4" s="127">
        <f t="shared" si="3"/>
        <v>0.02313980878</v>
      </c>
      <c r="X4" s="128">
        <v>7519.0</v>
      </c>
      <c r="Y4" s="129">
        <v>15.0</v>
      </c>
      <c r="Z4" s="109">
        <v>45846.0</v>
      </c>
      <c r="AA4" s="124"/>
      <c r="AB4" s="122"/>
      <c r="AC4" s="130"/>
      <c r="AD4" s="121"/>
      <c r="AE4" s="122"/>
      <c r="AF4" s="130"/>
      <c r="AG4" s="131" t="str">
        <f t="shared" si="4"/>
        <v/>
      </c>
      <c r="AH4" s="132">
        <f t="shared" si="5"/>
        <v>15</v>
      </c>
      <c r="AI4" s="133">
        <f t="shared" si="6"/>
        <v>7519</v>
      </c>
      <c r="AJ4" s="100">
        <f t="shared" si="7"/>
        <v>0.04184564223</v>
      </c>
      <c r="AK4" s="134">
        <f t="shared" si="8"/>
        <v>0</v>
      </c>
      <c r="AL4" s="133">
        <f t="shared" si="9"/>
        <v>1.808383234</v>
      </c>
      <c r="AM4" s="135">
        <f t="shared" si="10"/>
        <v>5</v>
      </c>
      <c r="AN4" s="62" t="str">
        <f t="shared" si="11"/>
        <v>Closed</v>
      </c>
      <c r="AO4" s="63">
        <f t="shared" si="12"/>
        <v>45846</v>
      </c>
      <c r="AP4" s="136">
        <f t="shared" si="13"/>
        <v>112785</v>
      </c>
      <c r="AQ4" s="132">
        <f t="shared" si="14"/>
        <v>4530</v>
      </c>
      <c r="AR4" s="137">
        <f>IFS(AND(B4&gt;=DATE(2025,1,1), B4&lt;=DATE(2025,1,31)), AQ4/DDashboard!$C$2, AND(B4&gt;=DATE(2025,2,1), B4&lt;=DATE(2025,2,28)), AQ4/DDashboard!$C$3, AND(B4&gt;=DATE(2025,3,1), B4&lt;=DATE(2025,3,31)), AQ4/DDashboard!$C$4, AND(B4&gt;=DATE(2025,4,1), B4&lt;=DATE(2025,4,30)), AQ4/DDashboard!$C$5,AND(B4&gt;=DATE(2025,5,1), B4&lt;=DATE(2025,5,31)), AQ4/DDashboard!$C$6,AND(B4&gt;=DATE(2025,6,1), B4&lt;=DATE(2025,6,30)), AQ4/DDashboard!$C$7,AND(B4&gt;=DATE(2025,7,1), B4&lt;=DATE(2025,7,31)), AQ4/DDashboard!$C$8,AND(B4&gt;=DATE(2025,8,1), B4&lt;=DATE(2025,8,31)), AQ4/DDashboard!$C$9,AND(B4&gt;=DATE(2025,9,1), B4&lt;=DATE(2025,9,30)), AQ4/DDashboard!$C$10,AND(B4&gt;=DATE(2025,10,1), B4&lt;=DATE(2025,10,31)), AQ4/DDashboard!$C$11,AND(B4&gt;=DATE(2025,11,1), B4&lt;=DATE(2025,11,30)), AQ4/DDashboard!$C$12, AND(B4&gt;=DATE(2025,12,1), B4&lt;=DATE(2025,12,31)), AQ4/DDashboard!$C$13, True, "")
</f>
        <v>0.00453</v>
      </c>
      <c r="AS4" s="66">
        <f t="array" ref="AS4">IF(ISBLANK(C4), "", SUM($AR4:AR$8)
)</f>
        <v>0.00278</v>
      </c>
      <c r="AT4" s="68" t="b">
        <v>1</v>
      </c>
      <c r="AU4" s="67" t="s">
        <v>59</v>
      </c>
      <c r="AV4" s="69" t="s">
        <v>60</v>
      </c>
      <c r="AW4" s="68" t="s">
        <v>61</v>
      </c>
      <c r="AX4" s="111"/>
    </row>
    <row r="5">
      <c r="A5" s="70">
        <v>4.0</v>
      </c>
      <c r="B5" s="138">
        <v>45841.0</v>
      </c>
      <c r="C5" s="139" t="s">
        <v>62</v>
      </c>
      <c r="D5" s="140"/>
      <c r="E5" s="141"/>
      <c r="F5" s="142">
        <v>1020.0</v>
      </c>
      <c r="G5" s="143">
        <f t="shared" si="1"/>
        <v>1020</v>
      </c>
      <c r="H5" s="144">
        <v>1000.0</v>
      </c>
      <c r="I5" s="144"/>
      <c r="J5" s="141" t="s">
        <v>48</v>
      </c>
      <c r="K5" s="145">
        <f>IFERROR(__xludf.DUMMYFUNCTION("IF(ISBLANK(C5), """", GOOGLEFINANCE(""NSE:"" &amp; C5,""price""))"),727.0)</f>
        <v>727</v>
      </c>
      <c r="L5" s="146" t="s">
        <v>63</v>
      </c>
      <c r="M5" s="147" t="s">
        <v>64</v>
      </c>
      <c r="N5" s="148">
        <v>50.0</v>
      </c>
      <c r="O5" s="149"/>
      <c r="P5" s="150"/>
      <c r="Q5" s="151"/>
      <c r="R5" s="152"/>
      <c r="S5" s="150"/>
      <c r="T5" s="151"/>
      <c r="U5" s="153">
        <f t="shared" si="2"/>
        <v>51000</v>
      </c>
      <c r="V5" s="154">
        <f>IFS(AND(B5&gt;=DATE(2025,1,1), B5&lt;=DATE(2025,1,31)), U5/DDashboard!$C$2, AND(B5&gt;=DATE(2025,2,1), B5&lt;=DATE(2025,2,28)), U5/DDashboard!$C$3, AND(B5&gt;=DATE(2025,3,1), B5&lt;=DATE(2025,3,31)), U5/DDashboard!$C$4, AND(B5&gt;=DATE(2025,4,1), B5&lt;=DATE(2025,4,30)), U5/DDashboard!$C$5,AND(B5&gt;=DATE(2025,5,1), B5&lt;=DATE(2025,5,31)), U5/DDashboard!$C$6,AND(B5&gt;=DATE(2025,6,1), B5&lt;=DATE(2025,6,30)), U5/DDashboard!$C$7,AND(B5&gt;=DATE(2025,7,1), B5&lt;=DATE(2025,7,31)), U5/DDashboard!$C$8,AND(B5&gt;=DATE(2025,8,1), B5&lt;=DATE(2025,8,31)), U5/DDashboard!$C$9,AND(B5&gt;=DATE(2025,9,1), B5&lt;=DATE(2025,9,30)), U5/DDashboard!$C$10,AND(B5&gt;=DATE(2025,10,1), B5&lt;=DATE(2025,10,31)), U5/DDashboard!$C$11,AND(B5&gt;=DATE(2025,11,1), B5&lt;=DATE(2025,11,30)), U5/DDashboard!$C$12, AND(B5&gt;=DATE(2025,12,1), B5&lt;=DATE(2025,12,31)), U5/DDashboard!$C$13, True, "")
</f>
        <v>0.051</v>
      </c>
      <c r="W5" s="65">
        <f t="shared" si="3"/>
        <v>0.01960784314</v>
      </c>
      <c r="X5" s="155">
        <v>1023.0</v>
      </c>
      <c r="Y5" s="156">
        <v>50.0</v>
      </c>
      <c r="Z5" s="157">
        <v>45841.0</v>
      </c>
      <c r="AA5" s="155"/>
      <c r="AB5" s="156"/>
      <c r="AC5" s="158"/>
      <c r="AD5" s="159"/>
      <c r="AE5" s="156"/>
      <c r="AF5" s="158"/>
      <c r="AG5" s="160" t="str">
        <f t="shared" si="4"/>
        <v/>
      </c>
      <c r="AH5" s="150">
        <f t="shared" si="5"/>
        <v>50</v>
      </c>
      <c r="AI5" s="161">
        <f t="shared" si="6"/>
        <v>1023</v>
      </c>
      <c r="AJ5" s="100">
        <f t="shared" si="7"/>
        <v>0.002941176471</v>
      </c>
      <c r="AK5" s="162">
        <f t="shared" si="8"/>
        <v>0</v>
      </c>
      <c r="AL5" s="161">
        <f t="shared" si="9"/>
        <v>0.15</v>
      </c>
      <c r="AM5" s="163">
        <f>IF(AN5="", "", IF(AN5="Closed", IF(ISNUMBER(AF5), AF5-B5,IF(ISNUMBER(AC5), AC5-B5,IF(ISNUMBER(Z5), Z5-B5, ""))), TODAY()-B5))
</f>
        <v>0</v>
      </c>
      <c r="AN5" s="164" t="str">
        <f t="shared" si="11"/>
        <v>Closed</v>
      </c>
      <c r="AO5" s="165">
        <f t="shared" si="12"/>
        <v>45841</v>
      </c>
      <c r="AP5" s="166">
        <f t="shared" si="13"/>
        <v>51150</v>
      </c>
      <c r="AQ5" s="167">
        <f t="shared" si="14"/>
        <v>150</v>
      </c>
      <c r="AR5" s="168">
        <f>IFS(AND(B5&gt;=DATE(2025,1,1), B5&lt;=DATE(2025,1,31)), AQ5/DDashboard!$C$2, AND(B5&gt;=DATE(2025,2,1), B5&lt;=DATE(2025,2,28)), AQ5/DDashboard!$C$3, AND(B5&gt;=DATE(2025,3,1), B5&lt;=DATE(2025,3,31)), AQ5/DDashboard!$C$4, AND(B5&gt;=DATE(2025,4,1), B5&lt;=DATE(2025,4,30)), AQ5/DDashboard!$C$5,AND(B5&gt;=DATE(2025,5,1), B5&lt;=DATE(2025,5,31)), AQ5/DDashboard!$C$6,AND(B5&gt;=DATE(2025,6,1), B5&lt;=DATE(2025,6,30)), AQ5/DDashboard!$C$7,AND(B5&gt;=DATE(2025,7,1), B5&lt;=DATE(2025,7,31)), AQ5/DDashboard!$C$8,AND(B5&gt;=DATE(2025,8,1), B5&lt;=DATE(2025,8,31)), AQ5/DDashboard!$C$9,AND(B5&gt;=DATE(2025,9,1), B5&lt;=DATE(2025,9,30)), AQ5/DDashboard!$C$10,AND(B5&gt;=DATE(2025,10,1), B5&lt;=DATE(2025,10,31)), AQ5/DDashboard!$C$11,AND(B5&gt;=DATE(2025,11,1), B5&lt;=DATE(2025,11,30)), AQ5/DDashboard!$C$12, AND(B5&gt;=DATE(2025,12,1), B5&lt;=DATE(2025,12,31)), AQ5/DDashboard!$C$13, True, "")
</f>
        <v>0.00015</v>
      </c>
      <c r="AS5" s="66">
        <f t="array" ref="AS5">IF(ISBLANK(C5), "", SUM($AR5:AR$8)
)</f>
        <v>-0.00175</v>
      </c>
      <c r="AT5" s="169" t="b">
        <v>1</v>
      </c>
      <c r="AU5" s="169" t="s">
        <v>59</v>
      </c>
      <c r="AV5" s="169" t="s">
        <v>65</v>
      </c>
      <c r="AW5" s="169" t="s">
        <v>66</v>
      </c>
      <c r="AX5" s="170"/>
    </row>
    <row r="6">
      <c r="A6" s="33">
        <v>5.0</v>
      </c>
      <c r="B6" s="109">
        <v>45841.0</v>
      </c>
      <c r="C6" s="110" t="s">
        <v>67</v>
      </c>
      <c r="D6" s="111"/>
      <c r="E6" s="112"/>
      <c r="F6" s="113">
        <v>676.0</v>
      </c>
      <c r="G6" s="114">
        <f t="shared" si="1"/>
        <v>676</v>
      </c>
      <c r="H6" s="115">
        <v>668.0</v>
      </c>
      <c r="I6" s="112"/>
      <c r="J6" s="116" t="s">
        <v>48</v>
      </c>
      <c r="K6" s="171">
        <f>IFERROR(__xludf.DUMMYFUNCTION("IF(ISBLANK(C6), """", GOOGLEFINANCE(""NSE:"" &amp; C6,""price""))"),594.0)</f>
        <v>594</v>
      </c>
      <c r="L6" s="118" t="s">
        <v>68</v>
      </c>
      <c r="M6" s="119" t="s">
        <v>58</v>
      </c>
      <c r="N6" s="120">
        <v>400.0</v>
      </c>
      <c r="O6" s="121"/>
      <c r="P6" s="122"/>
      <c r="Q6" s="123"/>
      <c r="R6" s="124"/>
      <c r="S6" s="122"/>
      <c r="T6" s="123"/>
      <c r="U6" s="125">
        <f t="shared" si="2"/>
        <v>270400</v>
      </c>
      <c r="V6" s="126">
        <f>IFS(AND(B6&gt;=DATE(2025,1,1), B6&lt;=DATE(2025,1,31)), U6/DDashboard!$C$2, AND(B6&gt;=DATE(2025,2,1), B6&lt;=DATE(2025,2,28)), U6/DDashboard!$C$3, AND(B6&gt;=DATE(2025,3,1), B6&lt;=DATE(2025,3,31)), U6/DDashboard!$C$4, AND(B6&gt;=DATE(2025,4,1), B6&lt;=DATE(2025,4,30)), U6/DDashboard!$C$5,AND(B6&gt;=DATE(2025,5,1), B6&lt;=DATE(2025,5,31)), U6/DDashboard!$C$6,AND(B6&gt;=DATE(2025,6,1), B6&lt;=DATE(2025,6,30)), U6/DDashboard!$C$7,AND(B6&gt;=DATE(2025,7,1), B6&lt;=DATE(2025,7,31)), U6/DDashboard!$C$8,AND(B6&gt;=DATE(2025,8,1), B6&lt;=DATE(2025,8,31)), U6/DDashboard!$C$9,AND(B6&gt;=DATE(2025,9,1), B6&lt;=DATE(2025,9,30)), U6/DDashboard!$C$10,AND(B6&gt;=DATE(2025,10,1), B6&lt;=DATE(2025,10,31)), U6/DDashboard!$C$11,AND(B6&gt;=DATE(2025,11,1), B6&lt;=DATE(2025,11,30)), U6/DDashboard!$C$12, AND(B6&gt;=DATE(2025,12,1), B6&lt;=DATE(2025,12,31)), U6/DDashboard!$C$13, True, "")
</f>
        <v>0.2704</v>
      </c>
      <c r="W6" s="127">
        <f t="shared" si="3"/>
        <v>0.01183431953</v>
      </c>
      <c r="X6" s="128">
        <v>668.5</v>
      </c>
      <c r="Y6" s="129">
        <v>400.0</v>
      </c>
      <c r="Z6" s="109">
        <v>45841.0</v>
      </c>
      <c r="AA6" s="124"/>
      <c r="AB6" s="122"/>
      <c r="AC6" s="130"/>
      <c r="AD6" s="121"/>
      <c r="AE6" s="122"/>
      <c r="AF6" s="130"/>
      <c r="AG6" s="131" t="str">
        <f t="shared" si="4"/>
        <v/>
      </c>
      <c r="AH6" s="132">
        <f t="shared" si="5"/>
        <v>400</v>
      </c>
      <c r="AI6" s="133">
        <f t="shared" si="6"/>
        <v>668.5</v>
      </c>
      <c r="AJ6" s="100">
        <f t="shared" si="7"/>
        <v>-0.01109467456</v>
      </c>
      <c r="AK6" s="134">
        <f t="shared" si="8"/>
        <v>0</v>
      </c>
      <c r="AL6" s="133">
        <f t="shared" si="9"/>
        <v>-0.9375</v>
      </c>
      <c r="AM6" s="135">
        <f>IF(AN6="", "", IF(AN6="Closed", 
    IF(ISNUMBER(AF6), AF6-B6,
        IF(ISNUMBER(AC6), AC6-B6,
            IF(ISNUMBER(Z6), Z6-B6, "")
        )
    ), 
    TODAY()-B6))</f>
        <v>0</v>
      </c>
      <c r="AN6" s="62" t="str">
        <f t="shared" si="11"/>
        <v>Closed</v>
      </c>
      <c r="AO6" s="63">
        <f t="shared" si="12"/>
        <v>45841</v>
      </c>
      <c r="AP6" s="136">
        <f t="shared" si="13"/>
        <v>267400</v>
      </c>
      <c r="AQ6" s="132">
        <f t="shared" si="14"/>
        <v>-3000</v>
      </c>
      <c r="AR6" s="137">
        <f>IFS(AND(B6&gt;=DATE(2025,1,1), B6&lt;=DATE(2025,1,31)), AQ6/DDashboard!$C$2, AND(B6&gt;=DATE(2025,2,1), B6&lt;=DATE(2025,2,28)), AQ6/DDashboard!$C$3, AND(B6&gt;=DATE(2025,3,1), B6&lt;=DATE(2025,3,31)), AQ6/DDashboard!$C$4, AND(B6&gt;=DATE(2025,4,1), B6&lt;=DATE(2025,4,30)), AQ6/DDashboard!$C$5,AND(B6&gt;=DATE(2025,5,1), B6&lt;=DATE(2025,5,31)), AQ6/DDashboard!$C$6,AND(B6&gt;=DATE(2025,6,1), B6&lt;=DATE(2025,6,30)), AQ6/DDashboard!$C$7,AND(B6&gt;=DATE(2025,7,1), B6&lt;=DATE(2025,7,31)), AQ6/DDashboard!$C$8,AND(B6&gt;=DATE(2025,8,1), B6&lt;=DATE(2025,8,31)), AQ6/DDashboard!$C$9,AND(B6&gt;=DATE(2025,9,1), B6&lt;=DATE(2025,9,30)), AQ6/DDashboard!$C$10,AND(B6&gt;=DATE(2025,10,1), B6&lt;=DATE(2025,10,31)), AQ6/DDashboard!$C$11,AND(B6&gt;=DATE(2025,11,1), B6&lt;=DATE(2025,11,30)), AQ6/DDashboard!$C$12, AND(B6&gt;=DATE(2025,12,1), B6&lt;=DATE(2025,12,31)), AQ6/DDashboard!$C$13, True, "")
</f>
        <v>-0.003</v>
      </c>
      <c r="AS6" s="66">
        <f t="array" ref="AS6">IF(ISBLANK(C6), "", SUM($AR6:AR$8)
)</f>
        <v>-0.0019</v>
      </c>
      <c r="AT6" s="68" t="b">
        <v>1</v>
      </c>
      <c r="AU6" s="68" t="s">
        <v>54</v>
      </c>
      <c r="AV6" s="172"/>
      <c r="AW6" s="68" t="s">
        <v>69</v>
      </c>
      <c r="AX6" s="173" t="s">
        <v>70</v>
      </c>
    </row>
    <row r="7">
      <c r="A7" s="70">
        <v>6.0</v>
      </c>
      <c r="B7" s="138">
        <v>45853.0</v>
      </c>
      <c r="C7" s="139" t="s">
        <v>71</v>
      </c>
      <c r="D7" s="140"/>
      <c r="E7" s="141"/>
      <c r="F7" s="142">
        <v>234.5</v>
      </c>
      <c r="G7" s="143">
        <f t="shared" si="1"/>
        <v>234.5</v>
      </c>
      <c r="H7" s="144">
        <v>231.0</v>
      </c>
      <c r="I7" s="144"/>
      <c r="J7" s="141" t="s">
        <v>48</v>
      </c>
      <c r="K7" s="145">
        <f>IFERROR(__xludf.DUMMYFUNCTION("IF(ISBLANK(C7), """", GOOGLEFINANCE(""NSE:"" &amp; C7,""price""))"),91.49)</f>
        <v>91.49</v>
      </c>
      <c r="L7" s="146" t="s">
        <v>68</v>
      </c>
      <c r="M7" s="147" t="s">
        <v>72</v>
      </c>
      <c r="N7" s="148">
        <v>200.0</v>
      </c>
      <c r="O7" s="149"/>
      <c r="P7" s="150"/>
      <c r="Q7" s="151"/>
      <c r="R7" s="152"/>
      <c r="S7" s="150"/>
      <c r="T7" s="151"/>
      <c r="U7" s="153">
        <f t="shared" si="2"/>
        <v>46900</v>
      </c>
      <c r="V7" s="154">
        <f>IFS(AND(B7&gt;=DATE(2025,1,1), B7&lt;=DATE(2025,1,31)), U7/DDashboard!$C$2, AND(B7&gt;=DATE(2025,2,1), B7&lt;=DATE(2025,2,28)), U7/DDashboard!$C$3, AND(B7&gt;=DATE(2025,3,1), B7&lt;=DATE(2025,3,31)), U7/DDashboard!$C$4, AND(B7&gt;=DATE(2025,4,1), B7&lt;=DATE(2025,4,30)), U7/DDashboard!$C$5,AND(B7&gt;=DATE(2025,5,1), B7&lt;=DATE(2025,5,31)), U7/DDashboard!$C$6,AND(B7&gt;=DATE(2025,6,1), B7&lt;=DATE(2025,6,30)), U7/DDashboard!$C$7,AND(B7&gt;=DATE(2025,7,1), B7&lt;=DATE(2025,7,31)), U7/DDashboard!$C$8,AND(B7&gt;=DATE(2025,8,1), B7&lt;=DATE(2025,8,31)), U7/DDashboard!$C$9,AND(B7&gt;=DATE(2025,9,1), B7&lt;=DATE(2025,9,30)), U7/DDashboard!$C$10,AND(B7&gt;=DATE(2025,10,1), B7&lt;=DATE(2025,10,31)), U7/DDashboard!$C$11,AND(B7&gt;=DATE(2025,11,1), B7&lt;=DATE(2025,11,30)), U7/DDashboard!$C$12, AND(B7&gt;=DATE(2025,12,1), B7&lt;=DATE(2025,12,31)), U7/DDashboard!$C$13, True, "")
</f>
        <v>0.0469</v>
      </c>
      <c r="W7" s="65">
        <f t="shared" si="3"/>
        <v>0.01492537313</v>
      </c>
      <c r="X7" s="155">
        <v>231.0</v>
      </c>
      <c r="Y7" s="156">
        <v>200.0</v>
      </c>
      <c r="Z7" s="157">
        <v>45853.0</v>
      </c>
      <c r="AA7" s="155"/>
      <c r="AB7" s="156"/>
      <c r="AC7" s="158"/>
      <c r="AD7" s="159"/>
      <c r="AE7" s="156"/>
      <c r="AF7" s="158"/>
      <c r="AG7" s="160" t="str">
        <f t="shared" si="4"/>
        <v/>
      </c>
      <c r="AH7" s="150">
        <f t="shared" si="5"/>
        <v>200</v>
      </c>
      <c r="AI7" s="161">
        <f t="shared" si="6"/>
        <v>231</v>
      </c>
      <c r="AJ7" s="100">
        <f t="shared" si="7"/>
        <v>-0.01492537313</v>
      </c>
      <c r="AK7" s="162">
        <f t="shared" si="8"/>
        <v>0</v>
      </c>
      <c r="AL7" s="161">
        <f t="shared" si="9"/>
        <v>-1</v>
      </c>
      <c r="AM7" s="163">
        <f>IF(AN7="", "", IF(AN7="Closed", IF(ISNUMBER(AF7), AF7-B7,IF(ISNUMBER(AC7), AC7-B7,IF(ISNUMBER(Z7), Z7-B7, ""))), TODAY()-B7))
</f>
        <v>0</v>
      </c>
      <c r="AN7" s="164" t="str">
        <f t="shared" si="11"/>
        <v>Closed</v>
      </c>
      <c r="AO7" s="165">
        <f t="shared" si="12"/>
        <v>45853</v>
      </c>
      <c r="AP7" s="166">
        <f t="shared" si="13"/>
        <v>46200</v>
      </c>
      <c r="AQ7" s="167">
        <f t="shared" si="14"/>
        <v>-700</v>
      </c>
      <c r="AR7" s="168">
        <f>IFS(AND(B7&gt;=DATE(2025,1,1), B7&lt;=DATE(2025,1,31)), AQ7/DDashboard!$C$2, AND(B7&gt;=DATE(2025,2,1), B7&lt;=DATE(2025,2,28)), AQ7/DDashboard!$C$3, AND(B7&gt;=DATE(2025,3,1), B7&lt;=DATE(2025,3,31)), AQ7/DDashboard!$C$4, AND(B7&gt;=DATE(2025,4,1), B7&lt;=DATE(2025,4,30)), AQ7/DDashboard!$C$5,AND(B7&gt;=DATE(2025,5,1), B7&lt;=DATE(2025,5,31)), AQ7/DDashboard!$C$6,AND(B7&gt;=DATE(2025,6,1), B7&lt;=DATE(2025,6,30)), AQ7/DDashboard!$C$7,AND(B7&gt;=DATE(2025,7,1), B7&lt;=DATE(2025,7,31)), AQ7/DDashboard!$C$8,AND(B7&gt;=DATE(2025,8,1), B7&lt;=DATE(2025,8,31)), AQ7/DDashboard!$C$9,AND(B7&gt;=DATE(2025,9,1), B7&lt;=DATE(2025,9,30)), AQ7/DDashboard!$C$10,AND(B7&gt;=DATE(2025,10,1), B7&lt;=DATE(2025,10,31)), AQ7/DDashboard!$C$11,AND(B7&gt;=DATE(2025,11,1), B7&lt;=DATE(2025,11,30)), AQ7/DDashboard!$C$12, AND(B7&gt;=DATE(2025,12,1), B7&lt;=DATE(2025,12,31)), AQ7/DDashboard!$C$13, True, "")
</f>
        <v>-0.0007</v>
      </c>
      <c r="AS7" s="66">
        <f t="array" ref="AS7">IF(ISBLANK(C7), "", SUM($AR7:AR$8)
)</f>
        <v>0.0011</v>
      </c>
      <c r="AT7" s="169" t="b">
        <v>1</v>
      </c>
      <c r="AU7" s="169" t="s">
        <v>7</v>
      </c>
      <c r="AV7" s="169" t="s">
        <v>51</v>
      </c>
      <c r="AW7" s="169" t="s">
        <v>73</v>
      </c>
      <c r="AX7" s="170"/>
    </row>
    <row r="8">
      <c r="A8" s="33">
        <v>7.0</v>
      </c>
      <c r="B8" s="174">
        <v>45852.0</v>
      </c>
      <c r="C8" s="175" t="s">
        <v>74</v>
      </c>
      <c r="D8" s="111"/>
      <c r="E8" s="112"/>
      <c r="F8" s="176">
        <v>3190.0</v>
      </c>
      <c r="G8" s="114">
        <f t="shared" si="1"/>
        <v>3190</v>
      </c>
      <c r="H8" s="177">
        <v>3170.0</v>
      </c>
      <c r="I8" s="112"/>
      <c r="J8" s="116" t="s">
        <v>48</v>
      </c>
      <c r="K8" s="117">
        <f>IFERROR(__xludf.DUMMYFUNCTION("IF(ISBLANK(C8), """", GOOGLEFINANCE(""NSE:"" &amp; C8,""price""))"),3472.0)</f>
        <v>3472</v>
      </c>
      <c r="L8" s="118" t="s">
        <v>68</v>
      </c>
      <c r="M8" s="178" t="s">
        <v>50</v>
      </c>
      <c r="N8" s="179">
        <v>20.0</v>
      </c>
      <c r="O8" s="121"/>
      <c r="P8" s="122"/>
      <c r="Q8" s="123"/>
      <c r="R8" s="124"/>
      <c r="S8" s="122"/>
      <c r="T8" s="123"/>
      <c r="U8" s="125">
        <f t="shared" si="2"/>
        <v>63800</v>
      </c>
      <c r="V8" s="126">
        <f>IFS(AND(B8&gt;=DATE(2025,1,1), B8&lt;=DATE(2025,1,31)), U8/DDashboard!$C$2, AND(B8&gt;=DATE(2025,2,1), B8&lt;=DATE(2025,2,28)), U8/DDashboard!$C$3, AND(B8&gt;=DATE(2025,3,1), B8&lt;=DATE(2025,3,31)), U8/DDashboard!$C$4, AND(B8&gt;=DATE(2025,4,1), B8&lt;=DATE(2025,4,30)), U8/DDashboard!$C$5,AND(B8&gt;=DATE(2025,5,1), B8&lt;=DATE(2025,5,31)), U8/DDashboard!$C$6,AND(B8&gt;=DATE(2025,6,1), B8&lt;=DATE(2025,6,30)), U8/DDashboard!$C$7,AND(B8&gt;=DATE(2025,7,1), B8&lt;=DATE(2025,7,31)), U8/DDashboard!$C$8,AND(B8&gt;=DATE(2025,8,1), B8&lt;=DATE(2025,8,31)), U8/DDashboard!$C$9,AND(B8&gt;=DATE(2025,9,1), B8&lt;=DATE(2025,9,30)), U8/DDashboard!$C$10,AND(B8&gt;=DATE(2025,10,1), B8&lt;=DATE(2025,10,31)), U8/DDashboard!$C$11,AND(B8&gt;=DATE(2025,11,1), B8&lt;=DATE(2025,11,30)), U8/DDashboard!$C$12, AND(B8&gt;=DATE(2025,12,1), B8&lt;=DATE(2025,12,31)), U8/DDashboard!$C$13, True, "")
</f>
        <v>0.0638</v>
      </c>
      <c r="W8" s="127">
        <f t="shared" si="3"/>
        <v>0.006269592476</v>
      </c>
      <c r="X8" s="180">
        <v>3280.0</v>
      </c>
      <c r="Y8" s="181">
        <v>20.0</v>
      </c>
      <c r="Z8" s="174">
        <v>45854.0</v>
      </c>
      <c r="AA8" s="124"/>
      <c r="AB8" s="122"/>
      <c r="AC8" s="130"/>
      <c r="AD8" s="121"/>
      <c r="AE8" s="122"/>
      <c r="AF8" s="130"/>
      <c r="AG8" s="131" t="str">
        <f t="shared" si="4"/>
        <v/>
      </c>
      <c r="AH8" s="132">
        <f t="shared" si="5"/>
        <v>20</v>
      </c>
      <c r="AI8" s="133">
        <f t="shared" si="6"/>
        <v>3280</v>
      </c>
      <c r="AJ8" s="100">
        <f t="shared" si="7"/>
        <v>0.02821316614</v>
      </c>
      <c r="AK8" s="134">
        <f t="shared" si="8"/>
        <v>0</v>
      </c>
      <c r="AL8" s="133">
        <f t="shared" si="9"/>
        <v>4.5</v>
      </c>
      <c r="AM8" s="135">
        <f>IF(AN8="", "", IF(AN8="Closed", 
    IF(ISNUMBER(AF8), AF8-B8,
        IF(ISNUMBER(AC8), AC8-B8,
            IF(ISNUMBER(Z8), Z8-B8, "")
        )
    ), 
    TODAY()-B8))</f>
        <v>2</v>
      </c>
      <c r="AN8" s="62" t="str">
        <f t="shared" si="11"/>
        <v>Closed</v>
      </c>
      <c r="AO8" s="63">
        <f t="shared" si="12"/>
        <v>45854</v>
      </c>
      <c r="AP8" s="136">
        <f t="shared" si="13"/>
        <v>65600</v>
      </c>
      <c r="AQ8" s="132">
        <f t="shared" si="14"/>
        <v>1800</v>
      </c>
      <c r="AR8" s="137">
        <f>IFS(AND(B8&gt;=DATE(2025,1,1), B8&lt;=DATE(2025,1,31)), AQ8/DDashboard!$C$2, AND(B8&gt;=DATE(2025,2,1), B8&lt;=DATE(2025,2,28)), AQ8/DDashboard!$C$3, AND(B8&gt;=DATE(2025,3,1), B8&lt;=DATE(2025,3,31)), AQ8/DDashboard!$C$4, AND(B8&gt;=DATE(2025,4,1), B8&lt;=DATE(2025,4,30)), AQ8/DDashboard!$C$5,AND(B8&gt;=DATE(2025,5,1), B8&lt;=DATE(2025,5,31)), AQ8/DDashboard!$C$6,AND(B8&gt;=DATE(2025,6,1), B8&lt;=DATE(2025,6,30)), AQ8/DDashboard!$C$7,AND(B8&gt;=DATE(2025,7,1), B8&lt;=DATE(2025,7,31)), AQ8/DDashboard!$C$8,AND(B8&gt;=DATE(2025,8,1), B8&lt;=DATE(2025,8,31)), AQ8/DDashboard!$C$9,AND(B8&gt;=DATE(2025,9,1), B8&lt;=DATE(2025,9,30)), AQ8/DDashboard!$C$10,AND(B8&gt;=DATE(2025,10,1), B8&lt;=DATE(2025,10,31)), AQ8/DDashboard!$C$11,AND(B8&gt;=DATE(2025,11,1), B8&lt;=DATE(2025,11,30)), AQ8/DDashboard!$C$12, AND(B8&gt;=DATE(2025,12,1), B8&lt;=DATE(2025,12,31)), AQ8/DDashboard!$C$13, True, "")
</f>
        <v>0.0018</v>
      </c>
      <c r="AS8" s="66">
        <f t="array" ref="AS8">IF(ISBLANK(C8), "", SUM($AR8:AR$8)
)</f>
        <v>0.0018</v>
      </c>
      <c r="AT8" s="67" t="b">
        <v>0</v>
      </c>
      <c r="AU8" s="67" t="s">
        <v>59</v>
      </c>
      <c r="AV8" s="172"/>
      <c r="AW8" s="67" t="s">
        <v>75</v>
      </c>
      <c r="AX8" s="111"/>
    </row>
    <row r="9">
      <c r="A9" s="70">
        <v>8.0</v>
      </c>
      <c r="B9" s="138">
        <v>45852.0</v>
      </c>
      <c r="C9" s="139">
        <v>544441.0</v>
      </c>
      <c r="D9" s="139" t="s">
        <v>76</v>
      </c>
      <c r="E9" s="141"/>
      <c r="F9" s="142">
        <v>242.0</v>
      </c>
      <c r="G9" s="143">
        <f t="shared" si="1"/>
        <v>242</v>
      </c>
      <c r="H9" s="144">
        <v>193.6</v>
      </c>
      <c r="I9" s="144"/>
      <c r="J9" s="141" t="s">
        <v>48</v>
      </c>
      <c r="K9" s="117">
        <f>IFERROR(__xludf.DUMMYFUNCTION("IF(ISBLANK(C9), """", GOOGLEFINANCE(""BOM:"" &amp; C9,""price""))"),88.17)</f>
        <v>88.17</v>
      </c>
      <c r="L9" s="146" t="s">
        <v>77</v>
      </c>
      <c r="M9" s="147"/>
      <c r="N9" s="148">
        <v>800.0</v>
      </c>
      <c r="O9" s="149"/>
      <c r="P9" s="150"/>
      <c r="Q9" s="151"/>
      <c r="R9" s="152"/>
      <c r="S9" s="150"/>
      <c r="T9" s="151"/>
      <c r="U9" s="153">
        <f t="shared" si="2"/>
        <v>193600</v>
      </c>
      <c r="V9" s="154">
        <f>IFS(AND(B9&gt;=DATE(2025,1,1), B9&lt;=DATE(2025,1,31)), U9/DDashboard!$C$2, AND(B9&gt;=DATE(2025,2,1), B9&lt;=DATE(2025,2,28)), U9/DDashboard!$C$3, AND(B9&gt;=DATE(2025,3,1), B9&lt;=DATE(2025,3,31)), U9/DDashboard!$C$4, AND(B9&gt;=DATE(2025,4,1), B9&lt;=DATE(2025,4,30)), U9/DDashboard!$C$5,AND(B9&gt;=DATE(2025,5,1), B9&lt;=DATE(2025,5,31)), U9/DDashboard!$C$6,AND(B9&gt;=DATE(2025,6,1), B9&lt;=DATE(2025,6,30)), U9/DDashboard!$C$7,AND(B9&gt;=DATE(2025,7,1), B9&lt;=DATE(2025,7,31)), U9/DDashboard!$C$8,AND(B9&gt;=DATE(2025,8,1), B9&lt;=DATE(2025,8,31)), U9/DDashboard!$C$9,AND(B9&gt;=DATE(2025,9,1), B9&lt;=DATE(2025,9,30)), U9/DDashboard!$C$10,AND(B9&gt;=DATE(2025,10,1), B9&lt;=DATE(2025,10,31)), U9/DDashboard!$C$11,AND(B9&gt;=DATE(2025,11,1), B9&lt;=DATE(2025,11,30)), U9/DDashboard!$C$12, AND(B9&gt;=DATE(2025,12,1), B9&lt;=DATE(2025,12,31)), U9/DDashboard!$C$13, True, "")
</f>
        <v>0.1936</v>
      </c>
      <c r="W9" s="65">
        <f t="shared" si="3"/>
        <v>0.2</v>
      </c>
      <c r="X9" s="155">
        <v>59.0</v>
      </c>
      <c r="Y9" s="156">
        <v>800.0</v>
      </c>
      <c r="Z9" s="182">
        <v>46111.0</v>
      </c>
      <c r="AA9" s="155"/>
      <c r="AB9" s="156"/>
      <c r="AC9" s="158"/>
      <c r="AD9" s="159"/>
      <c r="AE9" s="156"/>
      <c r="AF9" s="158"/>
      <c r="AG9" s="160" t="str">
        <f t="shared" si="4"/>
        <v/>
      </c>
      <c r="AH9" s="150">
        <f t="shared" si="5"/>
        <v>800</v>
      </c>
      <c r="AI9" s="161">
        <f t="shared" si="6"/>
        <v>59</v>
      </c>
      <c r="AJ9" s="100">
        <f t="shared" si="7"/>
        <v>-0.7561983471</v>
      </c>
      <c r="AK9" s="162">
        <f t="shared" si="8"/>
        <v>0</v>
      </c>
      <c r="AL9" s="161">
        <f t="shared" si="9"/>
        <v>-3.780991736</v>
      </c>
      <c r="AM9" s="163">
        <f>IF(AN9="", "", IF(AN9="Closed", IF(ISNUMBER(AF9), AF9-B9,IF(ISNUMBER(AC9), AC9-B9,IF(ISNUMBER(Z9), Z9-B9, ""))), TODAY()-B9))
</f>
        <v>259</v>
      </c>
      <c r="AN9" s="164" t="str">
        <f t="shared" si="11"/>
        <v>Closed</v>
      </c>
      <c r="AO9" s="165">
        <f t="shared" si="12"/>
        <v>46111</v>
      </c>
      <c r="AP9" s="166">
        <f t="shared" si="13"/>
        <v>47200</v>
      </c>
      <c r="AQ9" s="167">
        <f t="shared" si="14"/>
        <v>-146400</v>
      </c>
      <c r="AR9" s="168">
        <f>IFS(AND(B9&gt;=DATE(2025,1,1), B9&lt;=DATE(2025,1,31)), AQ9/DDashboard!$C$2, AND(B9&gt;=DATE(2025,2,1), B9&lt;=DATE(2025,2,28)), AQ9/DDashboard!$C$3, AND(B9&gt;=DATE(2025,3,1), B9&lt;=DATE(2025,3,31)), AQ9/DDashboard!$C$4, AND(B9&gt;=DATE(2025,4,1), B9&lt;=DATE(2025,4,30)), AQ9/DDashboard!$C$5,AND(B9&gt;=DATE(2025,5,1), B9&lt;=DATE(2025,5,31)), AQ9/DDashboard!$C$6,AND(B9&gt;=DATE(2025,6,1), B9&lt;=DATE(2025,6,30)), AQ9/DDashboard!$C$7,AND(B9&gt;=DATE(2025,7,1), B9&lt;=DATE(2025,7,31)), AQ9/DDashboard!$C$8,AND(B9&gt;=DATE(2025,8,1), B9&lt;=DATE(2025,8,31)), AQ9/DDashboard!$C$9,AND(B9&gt;=DATE(2025,9,1), B9&lt;=DATE(2025,9,30)), AQ9/DDashboard!$C$10,AND(B9&gt;=DATE(2025,10,1), B9&lt;=DATE(2025,10,31)), AQ9/DDashboard!$C$11,AND(B9&gt;=DATE(2025,11,1), B9&lt;=DATE(2025,11,30)), AQ9/DDashboard!$C$12, AND(B9&gt;=DATE(2025,12,1), B9&lt;=DATE(2025,12,31)), AQ9/DDashboard!$C$13, True, "")
</f>
        <v>-0.1464</v>
      </c>
      <c r="AS9" s="66">
        <f t="array" ref="AS9">IF(ISBLANK(C9), "", SUM($AR$8:AR9)
)</f>
        <v>-0.1446</v>
      </c>
      <c r="AT9" s="169" t="b">
        <v>0</v>
      </c>
      <c r="AU9" s="169" t="s">
        <v>59</v>
      </c>
      <c r="AV9" s="169"/>
      <c r="AW9" s="169"/>
      <c r="AX9" s="183"/>
    </row>
    <row r="10">
      <c r="A10" s="33">
        <v>9.0</v>
      </c>
      <c r="B10" s="184">
        <v>45852.0</v>
      </c>
      <c r="C10" s="185" t="s">
        <v>74</v>
      </c>
      <c r="D10" s="186"/>
      <c r="E10" s="187"/>
      <c r="F10" s="188">
        <v>3190.0</v>
      </c>
      <c r="G10" s="189">
        <f t="shared" si="1"/>
        <v>3190</v>
      </c>
      <c r="H10" s="190">
        <v>3170.0</v>
      </c>
      <c r="I10" s="190"/>
      <c r="J10" s="187" t="s">
        <v>48</v>
      </c>
      <c r="K10" s="191">
        <f>IFERROR(__xludf.DUMMYFUNCTION("IF(ISBLANK(C10), """", GOOGLEFINANCE(""NSE:"" &amp; C10,""price""))"),3472.0)</f>
        <v>3472</v>
      </c>
      <c r="L10" s="192" t="s">
        <v>68</v>
      </c>
      <c r="M10" s="193" t="s">
        <v>50</v>
      </c>
      <c r="N10" s="194">
        <v>20.0</v>
      </c>
      <c r="O10" s="195"/>
      <c r="P10" s="196"/>
      <c r="Q10" s="197"/>
      <c r="R10" s="198"/>
      <c r="S10" s="196"/>
      <c r="T10" s="197"/>
      <c r="U10" s="199">
        <f t="shared" si="2"/>
        <v>63800</v>
      </c>
      <c r="V10" s="200">
        <f>IFS(AND(B10&gt;=DATE(2025,1,1), B10&lt;=DATE(2025,1,31)), U10/DDashboard!$C$2, AND(B10&gt;=DATE(2025,2,1), B10&lt;=DATE(2025,2,28)), U10/DDashboard!$C$3, AND(B10&gt;=DATE(2025,3,1), B10&lt;=DATE(2025,3,31)), U10/DDashboard!$C$4, AND(B10&gt;=DATE(2025,4,1), B10&lt;=DATE(2025,4,30)), U10/DDashboard!$C$5,AND(B10&gt;=DATE(2025,5,1), B10&lt;=DATE(2025,5,31)), U10/DDashboard!$C$6,AND(B10&gt;=DATE(2025,6,1), B10&lt;=DATE(2025,6,30)), U10/DDashboard!$C$7,AND(B10&gt;=DATE(2025,7,1), B10&lt;=DATE(2025,7,31)), U10/DDashboard!$C$8,AND(B10&gt;=DATE(2025,8,1), B10&lt;=DATE(2025,8,31)), U10/DDashboard!$C$9,AND(B10&gt;=DATE(2025,9,1), B10&lt;=DATE(2025,9,30)), U10/DDashboard!$C$10,AND(B10&gt;=DATE(2025,10,1), B10&lt;=DATE(2025,10,31)), U10/DDashboard!$C$11,AND(B10&gt;=DATE(2025,11,1), B10&lt;=DATE(2025,11,30)), U10/DDashboard!$C$12, AND(B10&gt;=DATE(2025,12,1), B10&lt;=DATE(2025,12,31)), U10/DDashboard!$C$13, True, "")
</f>
        <v>0.0638</v>
      </c>
      <c r="W10" s="201">
        <f t="shared" si="3"/>
        <v>0.006269592476</v>
      </c>
      <c r="X10" s="202">
        <v>3280.0</v>
      </c>
      <c r="Y10" s="203">
        <v>20.0</v>
      </c>
      <c r="Z10" s="184">
        <v>45854.0</v>
      </c>
      <c r="AA10" s="202"/>
      <c r="AB10" s="203"/>
      <c r="AC10" s="204"/>
      <c r="AD10" s="205"/>
      <c r="AE10" s="203"/>
      <c r="AF10" s="204"/>
      <c r="AG10" s="206" t="str">
        <f t="shared" si="4"/>
        <v/>
      </c>
      <c r="AH10" s="196">
        <f t="shared" si="5"/>
        <v>20</v>
      </c>
      <c r="AI10" s="207">
        <f t="shared" si="6"/>
        <v>3280</v>
      </c>
      <c r="AJ10" s="100">
        <f t="shared" si="7"/>
        <v>0.02821316614</v>
      </c>
      <c r="AK10" s="208">
        <f t="shared" si="8"/>
        <v>0</v>
      </c>
      <c r="AL10" s="207">
        <f t="shared" si="9"/>
        <v>4.5</v>
      </c>
      <c r="AM10" s="209">
        <f>IF(AN10="", "", IF(AN10="Closed", 
    IF(ISNUMBER(AF10), AF10-B10,
        IF(ISNUMBER(AC10), AC10-B10,
            IF(ISNUMBER(Z10), Z10-B10, "")
        )
    ), 
    TODAY()-B10))</f>
        <v>2</v>
      </c>
      <c r="AN10" s="164" t="str">
        <f t="shared" si="11"/>
        <v>Closed</v>
      </c>
      <c r="AO10" s="165">
        <f t="shared" si="12"/>
        <v>45854</v>
      </c>
      <c r="AP10" s="210">
        <f t="shared" si="13"/>
        <v>65600</v>
      </c>
      <c r="AQ10" s="196">
        <f t="shared" si="14"/>
        <v>1800</v>
      </c>
      <c r="AR10" s="168">
        <f>IFS(AND(B10&gt;=DATE(2025,1,1), B10&lt;=DATE(2025,1,31)), AQ10/DDashboard!$C$2, AND(B10&gt;=DATE(2025,2,1), B10&lt;=DATE(2025,2,28)), AQ10/DDashboard!$C$3, AND(B10&gt;=DATE(2025,3,1), B10&lt;=DATE(2025,3,31)), AQ10/DDashboard!$C$4, AND(B10&gt;=DATE(2025,4,1), B10&lt;=DATE(2025,4,30)), AQ10/DDashboard!$C$5,AND(B10&gt;=DATE(2025,5,1), B10&lt;=DATE(2025,5,31)), AQ10/DDashboard!$C$6,AND(B10&gt;=DATE(2025,6,1), B10&lt;=DATE(2025,6,30)), AQ10/DDashboard!$C$7,AND(B10&gt;=DATE(2025,7,1), B10&lt;=DATE(2025,7,31)), AQ10/DDashboard!$C$8,AND(B10&gt;=DATE(2025,8,1), B10&lt;=DATE(2025,8,31)), AQ10/DDashboard!$C$9,AND(B10&gt;=DATE(2025,9,1), B10&lt;=DATE(2025,9,30)), AQ10/DDashboard!$C$10,AND(B10&gt;=DATE(2025,10,1), B10&lt;=DATE(2025,10,31)), AQ10/DDashboard!$C$11,AND(B10&gt;=DATE(2025,11,1), B10&lt;=DATE(2025,11,30)), AQ10/DDashboard!$C$12, AND(B10&gt;=DATE(2025,12,1), B10&lt;=DATE(2025,12,31)), AQ10/DDashboard!$C$13, True, "")
</f>
        <v>0.0018</v>
      </c>
      <c r="AS10" s="66">
        <f t="array" ref="AS10">IF(ISBLANK(C10), "", SUM($AR$8:AR10)
)</f>
        <v>-0.1428</v>
      </c>
      <c r="AT10" s="169" t="b">
        <v>0</v>
      </c>
      <c r="AU10" s="169" t="s">
        <v>59</v>
      </c>
      <c r="AV10" s="169"/>
      <c r="AW10" s="169" t="s">
        <v>75</v>
      </c>
      <c r="AX10" s="211"/>
    </row>
    <row r="11">
      <c r="A11" s="70">
        <v>10.0</v>
      </c>
      <c r="B11" s="138">
        <v>45853.0</v>
      </c>
      <c r="C11" s="139" t="s">
        <v>71</v>
      </c>
      <c r="D11" s="140"/>
      <c r="E11" s="141"/>
      <c r="F11" s="142">
        <v>234.5</v>
      </c>
      <c r="G11" s="143">
        <f t="shared" si="1"/>
        <v>234.5</v>
      </c>
      <c r="H11" s="144">
        <v>231.0</v>
      </c>
      <c r="I11" s="144"/>
      <c r="J11" s="141" t="s">
        <v>48</v>
      </c>
      <c r="K11" s="145">
        <f>IFERROR(__xludf.DUMMYFUNCTION("IF(ISBLANK(C11), """", GOOGLEFINANCE(""NSE:"" &amp; C11,""price""))"),91.49)</f>
        <v>91.49</v>
      </c>
      <c r="L11" s="146" t="s">
        <v>68</v>
      </c>
      <c r="M11" s="147" t="s">
        <v>72</v>
      </c>
      <c r="N11" s="148">
        <v>200.0</v>
      </c>
      <c r="O11" s="149"/>
      <c r="P11" s="150"/>
      <c r="Q11" s="151"/>
      <c r="R11" s="152"/>
      <c r="S11" s="150"/>
      <c r="T11" s="151"/>
      <c r="U11" s="153">
        <f t="shared" si="2"/>
        <v>46900</v>
      </c>
      <c r="V11" s="154">
        <f>IFS(AND(B11&gt;=DATE(2025,1,1), B11&lt;=DATE(2025,1,31)), U11/DDashboard!$C$2, AND(B11&gt;=DATE(2025,2,1), B11&lt;=DATE(2025,2,28)), U11/DDashboard!$C$3, AND(B11&gt;=DATE(2025,3,1), B11&lt;=DATE(2025,3,31)), U11/DDashboard!$C$4, AND(B11&gt;=DATE(2025,4,1), B11&lt;=DATE(2025,4,30)), U11/DDashboard!$C$5,AND(B11&gt;=DATE(2025,5,1), B11&lt;=DATE(2025,5,31)), U11/DDashboard!$C$6,AND(B11&gt;=DATE(2025,6,1), B11&lt;=DATE(2025,6,30)), U11/DDashboard!$C$7,AND(B11&gt;=DATE(2025,7,1), B11&lt;=DATE(2025,7,31)), U11/DDashboard!$C$8,AND(B11&gt;=DATE(2025,8,1), B11&lt;=DATE(2025,8,31)), U11/DDashboard!$C$9,AND(B11&gt;=DATE(2025,9,1), B11&lt;=DATE(2025,9,30)), U11/DDashboard!$C$10,AND(B11&gt;=DATE(2025,10,1), B11&lt;=DATE(2025,10,31)), U11/DDashboard!$C$11,AND(B11&gt;=DATE(2025,11,1), B11&lt;=DATE(2025,11,30)), U11/DDashboard!$C$12, AND(B11&gt;=DATE(2025,12,1), B11&lt;=DATE(2025,12,31)), U11/DDashboard!$C$13, True, "")
</f>
        <v>0.0469</v>
      </c>
      <c r="W11" s="65">
        <f t="shared" si="3"/>
        <v>0.01492537313</v>
      </c>
      <c r="X11" s="155">
        <v>231.0</v>
      </c>
      <c r="Y11" s="156">
        <v>200.0</v>
      </c>
      <c r="Z11" s="157">
        <v>45853.0</v>
      </c>
      <c r="AA11" s="155"/>
      <c r="AB11" s="156"/>
      <c r="AC11" s="158"/>
      <c r="AD11" s="159"/>
      <c r="AE11" s="156"/>
      <c r="AF11" s="158"/>
      <c r="AG11" s="160" t="str">
        <f t="shared" si="4"/>
        <v/>
      </c>
      <c r="AH11" s="150">
        <f t="shared" si="5"/>
        <v>200</v>
      </c>
      <c r="AI11" s="161">
        <f t="shared" si="6"/>
        <v>231</v>
      </c>
      <c r="AJ11" s="100">
        <f t="shared" si="7"/>
        <v>-0.01492537313</v>
      </c>
      <c r="AK11" s="162">
        <f t="shared" si="8"/>
        <v>0</v>
      </c>
      <c r="AL11" s="161">
        <f t="shared" si="9"/>
        <v>-1</v>
      </c>
      <c r="AM11" s="163">
        <f t="shared" ref="AM11:AM12" si="15">IF(AN11="", "", IF(AN11="Closed", IF(ISNUMBER(AF11), AF11-B11,IF(ISNUMBER(AC11), AC11-B11,IF(ISNUMBER(Z11), Z11-B11, ""))), TODAY()-B11))
</f>
        <v>0</v>
      </c>
      <c r="AN11" s="164" t="str">
        <f t="shared" si="11"/>
        <v>Closed</v>
      </c>
      <c r="AO11" s="165">
        <f t="shared" si="12"/>
        <v>45853</v>
      </c>
      <c r="AP11" s="166">
        <f t="shared" si="13"/>
        <v>46200</v>
      </c>
      <c r="AQ11" s="167">
        <f t="shared" si="14"/>
        <v>-700</v>
      </c>
      <c r="AR11" s="168">
        <f>IFS(AND(B11&gt;=DATE(2025,1,1), B11&lt;=DATE(2025,1,31)), AQ11/DDashboard!$C$2, AND(B11&gt;=DATE(2025,2,1), B11&lt;=DATE(2025,2,28)), AQ11/DDashboard!$C$3, AND(B11&gt;=DATE(2025,3,1), B11&lt;=DATE(2025,3,31)), AQ11/DDashboard!$C$4, AND(B11&gt;=DATE(2025,4,1), B11&lt;=DATE(2025,4,30)), AQ11/DDashboard!$C$5,AND(B11&gt;=DATE(2025,5,1), B11&lt;=DATE(2025,5,31)), AQ11/DDashboard!$C$6,AND(B11&gt;=DATE(2025,6,1), B11&lt;=DATE(2025,6,30)), AQ11/DDashboard!$C$7,AND(B11&gt;=DATE(2025,7,1), B11&lt;=DATE(2025,7,31)), AQ11/DDashboard!$C$8,AND(B11&gt;=DATE(2025,8,1), B11&lt;=DATE(2025,8,31)), AQ11/DDashboard!$C$9,AND(B11&gt;=DATE(2025,9,1), B11&lt;=DATE(2025,9,30)), AQ11/DDashboard!$C$10,AND(B11&gt;=DATE(2025,10,1), B11&lt;=DATE(2025,10,31)), AQ11/DDashboard!$C$11,AND(B11&gt;=DATE(2025,11,1), B11&lt;=DATE(2025,11,30)), AQ11/DDashboard!$C$12, AND(B11&gt;=DATE(2025,12,1), B11&lt;=DATE(2025,12,31)), AQ11/DDashboard!$C$13, True, "")
</f>
        <v>-0.0007</v>
      </c>
      <c r="AS11" s="66">
        <f t="array" ref="AS11">IF(ISBLANK(C11), "", SUM($AR$8:AR11)
)</f>
        <v>-0.1435</v>
      </c>
      <c r="AT11" s="169" t="b">
        <v>1</v>
      </c>
      <c r="AU11" s="169" t="s">
        <v>7</v>
      </c>
      <c r="AV11" s="169" t="s">
        <v>51</v>
      </c>
      <c r="AW11" s="169" t="s">
        <v>73</v>
      </c>
      <c r="AX11" s="170"/>
    </row>
    <row r="12">
      <c r="A12" s="33">
        <v>11.0</v>
      </c>
      <c r="B12" s="184">
        <v>45853.0</v>
      </c>
      <c r="C12" s="212" t="s">
        <v>78</v>
      </c>
      <c r="D12" s="185"/>
      <c r="E12" s="187"/>
      <c r="F12" s="188">
        <v>486.5</v>
      </c>
      <c r="G12" s="189">
        <f t="shared" si="1"/>
        <v>486.5</v>
      </c>
      <c r="H12" s="190">
        <v>480.0</v>
      </c>
      <c r="I12" s="190"/>
      <c r="J12" s="187" t="s">
        <v>48</v>
      </c>
      <c r="K12" s="191">
        <f>IFERROR(__xludf.DUMMYFUNCTION("IF(ISBLANK(C12), """", GOOGLEFINANCE(""NSE:"" &amp; C12,""price""))"),420.0)</f>
        <v>420</v>
      </c>
      <c r="L12" s="213" t="s">
        <v>79</v>
      </c>
      <c r="M12" s="193" t="s">
        <v>64</v>
      </c>
      <c r="N12" s="194">
        <v>200.0</v>
      </c>
      <c r="O12" s="214"/>
      <c r="P12" s="203"/>
      <c r="Q12" s="197"/>
      <c r="R12" s="215"/>
      <c r="S12" s="203"/>
      <c r="T12" s="197"/>
      <c r="U12" s="199">
        <f t="shared" si="2"/>
        <v>97300</v>
      </c>
      <c r="V12" s="200">
        <f>IFS(AND(B12&gt;=DATE(2025,1,1), B12&lt;=DATE(2025,1,31)), U12/DDashboard!$C$2, AND(B12&gt;=DATE(2025,2,1), B12&lt;=DATE(2025,2,28)), U12/DDashboard!$C$3, AND(B12&gt;=DATE(2025,3,1), B12&lt;=DATE(2025,3,31)), U12/DDashboard!$C$4, AND(B12&gt;=DATE(2025,4,1), B12&lt;=DATE(2025,4,30)), U12/DDashboard!$C$5,AND(B12&gt;=DATE(2025,5,1), B12&lt;=DATE(2025,5,31)), U12/DDashboard!$C$6,AND(B12&gt;=DATE(2025,6,1), B12&lt;=DATE(2025,6,30)), U12/DDashboard!$C$7,AND(B12&gt;=DATE(2025,7,1), B12&lt;=DATE(2025,7,31)), U12/DDashboard!$C$8,AND(B12&gt;=DATE(2025,8,1), B12&lt;=DATE(2025,8,31)), U12/DDashboard!$C$9,AND(B12&gt;=DATE(2025,9,1), B12&lt;=DATE(2025,9,30)), U12/DDashboard!$C$10,AND(B12&gt;=DATE(2025,10,1), B12&lt;=DATE(2025,10,31)), U12/DDashboard!$C$11,AND(B12&gt;=DATE(2025,11,1), B12&lt;=DATE(2025,11,30)), U12/DDashboard!$C$12, AND(B12&gt;=DATE(2025,12,1), B12&lt;=DATE(2025,12,31)), U12/DDashboard!$C$13, True, "")
</f>
        <v>0.0973</v>
      </c>
      <c r="W12" s="201">
        <f t="shared" si="3"/>
        <v>0.01336073998</v>
      </c>
      <c r="X12" s="202">
        <v>501.5</v>
      </c>
      <c r="Y12" s="203">
        <v>200.0</v>
      </c>
      <c r="Z12" s="184">
        <v>45856.0</v>
      </c>
      <c r="AA12" s="202"/>
      <c r="AB12" s="203"/>
      <c r="AC12" s="204"/>
      <c r="AD12" s="205"/>
      <c r="AE12" s="203"/>
      <c r="AF12" s="204"/>
      <c r="AG12" s="136" t="str">
        <f t="shared" si="4"/>
        <v/>
      </c>
      <c r="AH12" s="196">
        <f t="shared" si="5"/>
        <v>200</v>
      </c>
      <c r="AI12" s="207">
        <f t="shared" si="6"/>
        <v>501.5</v>
      </c>
      <c r="AJ12" s="100">
        <f t="shared" si="7"/>
        <v>0.03083247688</v>
      </c>
      <c r="AK12" s="208">
        <f t="shared" si="8"/>
        <v>0</v>
      </c>
      <c r="AL12" s="207">
        <f t="shared" si="9"/>
        <v>2.307692308</v>
      </c>
      <c r="AM12" s="209">
        <f t="shared" si="15"/>
        <v>3</v>
      </c>
      <c r="AN12" s="164" t="str">
        <f t="shared" si="11"/>
        <v>Closed</v>
      </c>
      <c r="AO12" s="165">
        <f t="shared" si="12"/>
        <v>45856</v>
      </c>
      <c r="AP12" s="210">
        <f t="shared" si="13"/>
        <v>100300</v>
      </c>
      <c r="AQ12" s="196">
        <f t="shared" si="14"/>
        <v>3000</v>
      </c>
      <c r="AR12" s="168">
        <f>IFS(AND(B12&gt;=DATE(2025,1,1), B12&lt;=DATE(2025,1,31)), AQ12/DDashboard!$C$2, AND(B12&gt;=DATE(2025,2,1), B12&lt;=DATE(2025,2,28)), AQ12/DDashboard!$C$3, AND(B12&gt;=DATE(2025,3,1), B12&lt;=DATE(2025,3,31)), AQ12/DDashboard!$C$4, AND(B12&gt;=DATE(2025,4,1), B12&lt;=DATE(2025,4,30)), AQ12/DDashboard!$C$5,AND(B12&gt;=DATE(2025,5,1), B12&lt;=DATE(2025,5,31)), AQ12/DDashboard!$C$6,AND(B12&gt;=DATE(2025,6,1), B12&lt;=DATE(2025,6,30)), AQ12/DDashboard!$C$7,AND(B12&gt;=DATE(2025,7,1), B12&lt;=DATE(2025,7,31)), AQ12/DDashboard!$C$8,AND(B12&gt;=DATE(2025,8,1), B12&lt;=DATE(2025,8,31)), AQ12/DDashboard!$C$9,AND(B12&gt;=DATE(2025,9,1), B12&lt;=DATE(2025,9,30)), AQ12/DDashboard!$C$10,AND(B12&gt;=DATE(2025,10,1), B12&lt;=DATE(2025,10,31)), AQ12/DDashboard!$C$11,AND(B12&gt;=DATE(2025,11,1), B12&lt;=DATE(2025,11,30)), AQ12/DDashboard!$C$12, AND(B12&gt;=DATE(2025,12,1), B12&lt;=DATE(2025,12,31)), AQ12/DDashboard!$C$13, True, "")
</f>
        <v>0.003</v>
      </c>
      <c r="AS12" s="66">
        <f t="array" ref="AS12">IF(ISBLANK(C12), "", SUM($AR$8:AR12)
)</f>
        <v>-0.1405</v>
      </c>
      <c r="AT12" s="169" t="b">
        <v>1</v>
      </c>
      <c r="AU12" s="169" t="s">
        <v>54</v>
      </c>
      <c r="AV12" s="169" t="s">
        <v>60</v>
      </c>
      <c r="AW12" s="169" t="s">
        <v>61</v>
      </c>
      <c r="AX12" s="211"/>
    </row>
    <row r="13">
      <c r="A13" s="70">
        <v>12.0</v>
      </c>
      <c r="B13" s="138">
        <v>45853.0</v>
      </c>
      <c r="C13" s="216" t="s">
        <v>80</v>
      </c>
      <c r="D13" s="139"/>
      <c r="E13" s="141"/>
      <c r="F13" s="142">
        <v>935.0</v>
      </c>
      <c r="G13" s="143">
        <f t="shared" si="1"/>
        <v>934.5152672</v>
      </c>
      <c r="H13" s="144">
        <v>915.0</v>
      </c>
      <c r="I13" s="144"/>
      <c r="J13" s="141" t="s">
        <v>48</v>
      </c>
      <c r="K13" s="145">
        <f>IFERROR(__xludf.DUMMYFUNCTION("IF(ISBLANK(C13), """", GOOGLEFINANCE(""NSE:"" &amp; C13,""price""))"),786.0)</f>
        <v>786</v>
      </c>
      <c r="L13" s="146" t="s">
        <v>81</v>
      </c>
      <c r="M13" s="147" t="s">
        <v>72</v>
      </c>
      <c r="N13" s="148">
        <v>135.0</v>
      </c>
      <c r="O13" s="217">
        <v>934.0</v>
      </c>
      <c r="P13" s="218">
        <v>127.0</v>
      </c>
      <c r="Q13" s="138">
        <v>45853.0</v>
      </c>
      <c r="R13" s="219"/>
      <c r="S13" s="218"/>
      <c r="T13" s="151"/>
      <c r="U13" s="153">
        <f t="shared" si="2"/>
        <v>244843</v>
      </c>
      <c r="V13" s="154">
        <f>IFS(AND(B13&gt;=DATE(2025,1,1), B13&lt;=DATE(2025,1,31)), U13/DDashboard!$C$2, AND(B13&gt;=DATE(2025,2,1), B13&lt;=DATE(2025,2,28)), U13/DDashboard!$C$3, AND(B13&gt;=DATE(2025,3,1), B13&lt;=DATE(2025,3,31)), U13/DDashboard!$C$4, AND(B13&gt;=DATE(2025,4,1), B13&lt;=DATE(2025,4,30)), U13/DDashboard!$C$5,AND(B13&gt;=DATE(2025,5,1), B13&lt;=DATE(2025,5,31)), U13/DDashboard!$C$6,AND(B13&gt;=DATE(2025,6,1), B13&lt;=DATE(2025,6,30)), U13/DDashboard!$C$7,AND(B13&gt;=DATE(2025,7,1), B13&lt;=DATE(2025,7,31)), U13/DDashboard!$C$8,AND(B13&gt;=DATE(2025,8,1), B13&lt;=DATE(2025,8,31)), U13/DDashboard!$C$9,AND(B13&gt;=DATE(2025,9,1), B13&lt;=DATE(2025,9,30)), U13/DDashboard!$C$10,AND(B13&gt;=DATE(2025,10,1), B13&lt;=DATE(2025,10,31)), U13/DDashboard!$C$11,AND(B13&gt;=DATE(2025,11,1), B13&lt;=DATE(2025,11,30)), U13/DDashboard!$C$12, AND(B13&gt;=DATE(2025,12,1), B13&lt;=DATE(2025,12,31)), U13/DDashboard!$C$13, True, "")
</f>
        <v>0.244843</v>
      </c>
      <c r="W13" s="65">
        <f t="shared" si="3"/>
        <v>0.02139037433</v>
      </c>
      <c r="X13" s="155">
        <v>915.0</v>
      </c>
      <c r="Y13" s="156">
        <v>127.0</v>
      </c>
      <c r="Z13" s="157">
        <v>45854.0</v>
      </c>
      <c r="AA13" s="155">
        <v>883.0</v>
      </c>
      <c r="AB13" s="156">
        <v>135.0</v>
      </c>
      <c r="AC13" s="157">
        <v>45856.0</v>
      </c>
      <c r="AD13" s="159"/>
      <c r="AE13" s="156"/>
      <c r="AF13" s="158"/>
      <c r="AG13" s="220" t="str">
        <f t="shared" si="4"/>
        <v/>
      </c>
      <c r="AH13" s="150">
        <f t="shared" si="5"/>
        <v>262</v>
      </c>
      <c r="AI13" s="161">
        <f t="shared" si="6"/>
        <v>898.5114504</v>
      </c>
      <c r="AJ13" s="100">
        <f t="shared" si="7"/>
        <v>-0.03852672937</v>
      </c>
      <c r="AK13" s="162">
        <f t="shared" si="8"/>
        <v>0</v>
      </c>
      <c r="AL13" s="161">
        <f t="shared" si="9"/>
        <v>-1.801124598</v>
      </c>
      <c r="AM13" s="163">
        <f>IF(AN13="", "", IF(AN13="Closed", 
    IF(ISNUMBER(AF13), AF13-B13,
        IF(ISNUMBER(AC13), AC13-B13,
            IF(ISNUMBER(Z13), Z13-B13, "")
        )
    ), 
    TODAY()-B13))</f>
        <v>3</v>
      </c>
      <c r="AN13" s="164" t="str">
        <f t="shared" si="11"/>
        <v>Closed</v>
      </c>
      <c r="AO13" s="165">
        <f t="shared" si="12"/>
        <v>45856</v>
      </c>
      <c r="AP13" s="166">
        <f t="shared" si="13"/>
        <v>235410</v>
      </c>
      <c r="AQ13" s="167">
        <f t="shared" si="14"/>
        <v>-9433</v>
      </c>
      <c r="AR13" s="168">
        <f>IFS(AND(B13&gt;=DATE(2025,1,1), B13&lt;=DATE(2025,1,31)), AQ13/DDashboard!$C$2, AND(B13&gt;=DATE(2025,2,1), B13&lt;=DATE(2025,2,28)), AQ13/DDashboard!$C$3, AND(B13&gt;=DATE(2025,3,1), B13&lt;=DATE(2025,3,31)), AQ13/DDashboard!$C$4, AND(B13&gt;=DATE(2025,4,1), B13&lt;=DATE(2025,4,30)), AQ13/DDashboard!$C$5,AND(B13&gt;=DATE(2025,5,1), B13&lt;=DATE(2025,5,31)), AQ13/DDashboard!$C$6,AND(B13&gt;=DATE(2025,6,1), B13&lt;=DATE(2025,6,30)), AQ13/DDashboard!$C$7,AND(B13&gt;=DATE(2025,7,1), B13&lt;=DATE(2025,7,31)), AQ13/DDashboard!$C$8,AND(B13&gt;=DATE(2025,8,1), B13&lt;=DATE(2025,8,31)), AQ13/DDashboard!$C$9,AND(B13&gt;=DATE(2025,9,1), B13&lt;=DATE(2025,9,30)), AQ13/DDashboard!$C$10,AND(B13&gt;=DATE(2025,10,1), B13&lt;=DATE(2025,10,31)), AQ13/DDashboard!$C$11,AND(B13&gt;=DATE(2025,11,1), B13&lt;=DATE(2025,11,30)), AQ13/DDashboard!$C$12, AND(B13&gt;=DATE(2025,12,1), B13&lt;=DATE(2025,12,31)), AQ13/DDashboard!$C$13, True, "")
</f>
        <v>-0.009433</v>
      </c>
      <c r="AS13" s="66">
        <f t="array" ref="AS13">IF(ISBLANK(C13), "", SUM($AR$8:AR13)
)</f>
        <v>-0.149933</v>
      </c>
      <c r="AT13" s="169" t="b">
        <v>0</v>
      </c>
      <c r="AU13" s="169" t="s">
        <v>7</v>
      </c>
      <c r="AV13" s="169"/>
      <c r="AW13" s="169" t="s">
        <v>82</v>
      </c>
      <c r="AX13" s="170"/>
    </row>
    <row r="14">
      <c r="A14" s="33">
        <v>13.0</v>
      </c>
      <c r="B14" s="184">
        <v>45853.0</v>
      </c>
      <c r="C14" s="212" t="s">
        <v>83</v>
      </c>
      <c r="D14" s="185"/>
      <c r="E14" s="187"/>
      <c r="F14" s="188">
        <v>622.0</v>
      </c>
      <c r="G14" s="189">
        <f t="shared" si="1"/>
        <v>622</v>
      </c>
      <c r="H14" s="190">
        <v>615.0</v>
      </c>
      <c r="I14" s="190"/>
      <c r="J14" s="187" t="s">
        <v>48</v>
      </c>
      <c r="K14" s="191">
        <f>IFERROR(__xludf.DUMMYFUNCTION("IF(ISBLANK(C14), """", GOOGLEFINANCE(""NSE:"" &amp; C14,""price""))"),506.35)</f>
        <v>506.35</v>
      </c>
      <c r="L14" s="213" t="s">
        <v>84</v>
      </c>
      <c r="M14" s="193" t="s">
        <v>85</v>
      </c>
      <c r="N14" s="194">
        <v>100.0</v>
      </c>
      <c r="O14" s="195"/>
      <c r="P14" s="196"/>
      <c r="Q14" s="197"/>
      <c r="R14" s="198"/>
      <c r="S14" s="196"/>
      <c r="T14" s="197"/>
      <c r="U14" s="199">
        <f t="shared" si="2"/>
        <v>62200</v>
      </c>
      <c r="V14" s="200">
        <f>IFS(AND(B14&gt;=DATE(2025,1,1), B14&lt;=DATE(2025,1,31)), U14/DDashboard!$C$2, AND(B14&gt;=DATE(2025,2,1), B14&lt;=DATE(2025,2,28)), U14/DDashboard!$C$3, AND(B14&gt;=DATE(2025,3,1), B14&lt;=DATE(2025,3,31)), U14/DDashboard!$C$4, AND(B14&gt;=DATE(2025,4,1), B14&lt;=DATE(2025,4,30)), U14/DDashboard!$C$5,AND(B14&gt;=DATE(2025,5,1), B14&lt;=DATE(2025,5,31)), U14/DDashboard!$C$6,AND(B14&gt;=DATE(2025,6,1), B14&lt;=DATE(2025,6,30)), U14/DDashboard!$C$7,AND(B14&gt;=DATE(2025,7,1), B14&lt;=DATE(2025,7,31)), U14/DDashboard!$C$8,AND(B14&gt;=DATE(2025,8,1), B14&lt;=DATE(2025,8,31)), U14/DDashboard!$C$9,AND(B14&gt;=DATE(2025,9,1), B14&lt;=DATE(2025,9,30)), U14/DDashboard!$C$10,AND(B14&gt;=DATE(2025,10,1), B14&lt;=DATE(2025,10,31)), U14/DDashboard!$C$11,AND(B14&gt;=DATE(2025,11,1), B14&lt;=DATE(2025,11,30)), U14/DDashboard!$C$12, AND(B14&gt;=DATE(2025,12,1), B14&lt;=DATE(2025,12,31)), U14/DDashboard!$C$13, True, "")
</f>
        <v>0.0622</v>
      </c>
      <c r="W14" s="201">
        <f t="shared" si="3"/>
        <v>0.01125401929</v>
      </c>
      <c r="X14" s="202">
        <v>615.0</v>
      </c>
      <c r="Y14" s="203">
        <v>100.0</v>
      </c>
      <c r="Z14" s="221">
        <v>45855.0</v>
      </c>
      <c r="AA14" s="202"/>
      <c r="AB14" s="203"/>
      <c r="AC14" s="204"/>
      <c r="AD14" s="195"/>
      <c r="AE14" s="222"/>
      <c r="AF14" s="223"/>
      <c r="AG14" s="136" t="str">
        <f t="shared" si="4"/>
        <v/>
      </c>
      <c r="AH14" s="196">
        <f t="shared" si="5"/>
        <v>100</v>
      </c>
      <c r="AI14" s="224">
        <f t="shared" si="6"/>
        <v>615</v>
      </c>
      <c r="AJ14" s="100">
        <f t="shared" si="7"/>
        <v>-0.01125401929</v>
      </c>
      <c r="AK14" s="208">
        <f t="shared" si="8"/>
        <v>0</v>
      </c>
      <c r="AL14" s="207">
        <f t="shared" si="9"/>
        <v>-1</v>
      </c>
      <c r="AM14" s="209">
        <f>IF(AN14="", "", IF(AN14="Closed", IF(ISNUMBER(AF14), AF14-B14,IF(ISNUMBER(AC14), AC14-B14,IF(ISNUMBER(Z14), Z14-B14, ""))), TODAY()-B14))
</f>
        <v>2</v>
      </c>
      <c r="AN14" s="164" t="str">
        <f t="shared" si="11"/>
        <v>Closed</v>
      </c>
      <c r="AO14" s="165">
        <f t="shared" si="12"/>
        <v>45855</v>
      </c>
      <c r="AP14" s="210">
        <f t="shared" si="13"/>
        <v>61500</v>
      </c>
      <c r="AQ14" s="196">
        <f t="shared" si="14"/>
        <v>-700</v>
      </c>
      <c r="AR14" s="168">
        <f>IFS(AND(B14&gt;=DATE(2025,1,1), B14&lt;=DATE(2025,1,31)), AQ14/DDashboard!$C$2, AND(B14&gt;=DATE(2025,2,1), B14&lt;=DATE(2025,2,28)), AQ14/DDashboard!$C$3, AND(B14&gt;=DATE(2025,3,1), B14&lt;=DATE(2025,3,31)), AQ14/DDashboard!$C$4, AND(B14&gt;=DATE(2025,4,1), B14&lt;=DATE(2025,4,30)), AQ14/DDashboard!$C$5,AND(B14&gt;=DATE(2025,5,1), B14&lt;=DATE(2025,5,31)), AQ14/DDashboard!$C$6,AND(B14&gt;=DATE(2025,6,1), B14&lt;=DATE(2025,6,30)), AQ14/DDashboard!$C$7,AND(B14&gt;=DATE(2025,7,1), B14&lt;=DATE(2025,7,31)), AQ14/DDashboard!$C$8,AND(B14&gt;=DATE(2025,8,1), B14&lt;=DATE(2025,8,31)), AQ14/DDashboard!$C$9,AND(B14&gt;=DATE(2025,9,1), B14&lt;=DATE(2025,9,30)), AQ14/DDashboard!$C$10,AND(B14&gt;=DATE(2025,10,1), B14&lt;=DATE(2025,10,31)), AQ14/DDashboard!$C$11,AND(B14&gt;=DATE(2025,11,1), B14&lt;=DATE(2025,11,30)), AQ14/DDashboard!$C$12, AND(B14&gt;=DATE(2025,12,1), B14&lt;=DATE(2025,12,31)), AQ14/DDashboard!$C$13, True, "")
</f>
        <v>-0.0007</v>
      </c>
      <c r="AS14" s="66">
        <f t="array" ref="AS14">IF(ISBLANK(C14), "", SUM($AR$8:AR14)
)</f>
        <v>-0.150633</v>
      </c>
      <c r="AT14" s="169" t="b">
        <v>0</v>
      </c>
      <c r="AU14" s="169"/>
      <c r="AV14" s="169"/>
      <c r="AW14" s="169"/>
      <c r="AX14" s="211"/>
    </row>
    <row r="15">
      <c r="A15" s="70">
        <v>14.0</v>
      </c>
      <c r="B15" s="138">
        <v>45853.0</v>
      </c>
      <c r="C15" s="216" t="s">
        <v>86</v>
      </c>
      <c r="D15" s="139"/>
      <c r="E15" s="141"/>
      <c r="F15" s="142">
        <v>105.4</v>
      </c>
      <c r="G15" s="143">
        <f t="shared" si="1"/>
        <v>105.4</v>
      </c>
      <c r="H15" s="144">
        <v>104.4</v>
      </c>
      <c r="I15" s="144"/>
      <c r="J15" s="141" t="s">
        <v>48</v>
      </c>
      <c r="K15" s="145">
        <f>IFERROR(__xludf.DUMMYFUNCTION("IF(ISBLANK(C15), """", GOOGLEFINANCE(""NSE:"" &amp; C15,""price""))"),81.77)</f>
        <v>81.77</v>
      </c>
      <c r="L15" s="146" t="s">
        <v>63</v>
      </c>
      <c r="M15" s="147" t="s">
        <v>87</v>
      </c>
      <c r="N15" s="148">
        <v>1000.0</v>
      </c>
      <c r="O15" s="225"/>
      <c r="P15" s="226"/>
      <c r="Q15" s="227"/>
      <c r="R15" s="152"/>
      <c r="S15" s="150"/>
      <c r="T15" s="151"/>
      <c r="U15" s="153">
        <f t="shared" si="2"/>
        <v>105400</v>
      </c>
      <c r="V15" s="154">
        <f>IFS(AND(B15&gt;=DATE(2025,1,1), B15&lt;=DATE(2025,1,31)), U15/DDashboard!$C$2, AND(B15&gt;=DATE(2025,2,1), B15&lt;=DATE(2025,2,28)), U15/DDashboard!$C$3, AND(B15&gt;=DATE(2025,3,1), B15&lt;=DATE(2025,3,31)), U15/DDashboard!$C$4, AND(B15&gt;=DATE(2025,4,1), B15&lt;=DATE(2025,4,30)), U15/DDashboard!$C$5,AND(B15&gt;=DATE(2025,5,1), B15&lt;=DATE(2025,5,31)), U15/DDashboard!$C$6,AND(B15&gt;=DATE(2025,6,1), B15&lt;=DATE(2025,6,30)), U15/DDashboard!$C$7,AND(B15&gt;=DATE(2025,7,1), B15&lt;=DATE(2025,7,31)), U15/DDashboard!$C$8,AND(B15&gt;=DATE(2025,8,1), B15&lt;=DATE(2025,8,31)), U15/DDashboard!$C$9,AND(B15&gt;=DATE(2025,9,1), B15&lt;=DATE(2025,9,30)), U15/DDashboard!$C$10,AND(B15&gt;=DATE(2025,10,1), B15&lt;=DATE(2025,10,31)), U15/DDashboard!$C$11,AND(B15&gt;=DATE(2025,11,1), B15&lt;=DATE(2025,11,30)), U15/DDashboard!$C$12, AND(B15&gt;=DATE(2025,12,1), B15&lt;=DATE(2025,12,31)), U15/DDashboard!$C$13, True, "")
</f>
        <v>0.1054</v>
      </c>
      <c r="W15" s="65">
        <f t="shared" si="3"/>
        <v>0.009487666034</v>
      </c>
      <c r="X15" s="155">
        <v>104.95</v>
      </c>
      <c r="Y15" s="156">
        <v>1000.0</v>
      </c>
      <c r="Z15" s="157">
        <v>45854.0</v>
      </c>
      <c r="AA15" s="155"/>
      <c r="AB15" s="156"/>
      <c r="AC15" s="158"/>
      <c r="AD15" s="159"/>
      <c r="AE15" s="156"/>
      <c r="AF15" s="158"/>
      <c r="AG15" s="220" t="str">
        <f t="shared" si="4"/>
        <v/>
      </c>
      <c r="AH15" s="150">
        <f t="shared" si="5"/>
        <v>1000</v>
      </c>
      <c r="AI15" s="161">
        <f>IF(ISBLANK(E15), IF(ISBLANK(X15), K15, IFERROR(IF(ISBLANK(C15),X15*Y15+AA15*AB15+AD15*AE15+AG14*K15,X15*Y15+AA15*AB15+AD15*AE15+AG14*G15)/(Y15+AB15+AE15+AG14) , "")),(X15*Y15+AA15*AB15+AD15*AE15+AG14*G15)/(Y15+AB15+AE15+AG14))</f>
        <v>104.95</v>
      </c>
      <c r="AJ15" s="100">
        <f t="shared" si="7"/>
        <v>-0.004269449715</v>
      </c>
      <c r="AK15" s="162">
        <f>IFERROR(IFS(AND(J15="B",ISBLANK(I15)),(G15-H15)*AG14,AND(J15="B",ISNUMBER(I15)),(G15-I15)*AG14,AND(J15="S",ISBLANK(I15)),(H15-G15)*AG14,AND(J15="S",ISNUMBER(I15)),(I15-G15)*AG14),"")</f>
        <v>0</v>
      </c>
      <c r="AL15" s="161">
        <f t="shared" si="9"/>
        <v>-0.45</v>
      </c>
      <c r="AM15" s="163">
        <f t="shared" ref="AM15:AM16" si="16">IF(AN15="", "", IF(AN15="Closed", 
    IF(ISNUMBER(AF15), AF15-B15,
        IF(ISNUMBER(AC15), AC15-B15,
            IF(ISNUMBER(Z15), Z15-B15, "")
        )
    ), 
    TODAY()-B15))</f>
        <v>1</v>
      </c>
      <c r="AN15" s="164" t="str">
        <f t="shared" si="11"/>
        <v>Closed</v>
      </c>
      <c r="AO15" s="165">
        <f t="shared" si="12"/>
        <v>45854</v>
      </c>
      <c r="AP15" s="166">
        <f t="shared" si="13"/>
        <v>104950</v>
      </c>
      <c r="AQ15" s="167">
        <f>IFS(AND(ISBLANK(D15),N15&lt;&gt;"",AN15="Closed",J15="B"),(AH15*AI15)-U15,AND(ISBLANK(D15),N15&lt;&gt;"",AN15&lt;&gt;"Closed",J15="B"),(X15*Y15+AA15*AB15+AD15*AE15+K15*AG14)-U15, AND(ISBLANK(D15),N15&lt;&gt;"",AN15="Closed",J15="S"),U15-(AH15*AI15),AND(ISBLANK(D15),N15&lt;&gt;"",AN15&lt;&gt;"Closed",J15="S"),U15-(X15*Y15+AA15*AB15+AD15*AE15+K15*AG14),AND(D15&lt;&gt;"",N15&lt;&gt;"",AH15&lt;&gt;"",AN15="Closed",J15="B"),(AH15*AI15)-(G15*(AG14+AH15)),AND(D15&lt;&gt;"",N15&lt;&gt;"",AH15&lt;&gt;"",AN15="Closed",J15="S"),(G15*(AG14+AH15))-(AH15*AI15),AND(D15&lt;&gt;"",N15&lt;&gt;"",AN15&lt;&gt;"Closed"),"",ISBLANK(B15),"")</f>
        <v>-450</v>
      </c>
      <c r="AR15" s="168">
        <f>IFS(AND(B15&gt;=DATE(2025,1,1), B15&lt;=DATE(2025,1,31)), AQ15/DDashboard!$C$2, AND(B15&gt;=DATE(2025,2,1), B15&lt;=DATE(2025,2,28)), AQ15/DDashboard!$C$3, AND(B15&gt;=DATE(2025,3,1), B15&lt;=DATE(2025,3,31)), AQ15/DDashboard!$C$4, AND(B15&gt;=DATE(2025,4,1), B15&lt;=DATE(2025,4,30)), AQ15/DDashboard!$C$5,AND(B15&gt;=DATE(2025,5,1), B15&lt;=DATE(2025,5,31)), AQ15/DDashboard!$C$6,AND(B15&gt;=DATE(2025,6,1), B15&lt;=DATE(2025,6,30)), AQ15/DDashboard!$C$7,AND(B15&gt;=DATE(2025,7,1), B15&lt;=DATE(2025,7,31)), AQ15/DDashboard!$C$8,AND(B15&gt;=DATE(2025,8,1), B15&lt;=DATE(2025,8,31)), AQ15/DDashboard!$C$9,AND(B15&gt;=DATE(2025,9,1), B15&lt;=DATE(2025,9,30)), AQ15/DDashboard!$C$10,AND(B15&gt;=DATE(2025,10,1), B15&lt;=DATE(2025,10,31)), AQ15/DDashboard!$C$11,AND(B15&gt;=DATE(2025,11,1), B15&lt;=DATE(2025,11,30)), AQ15/DDashboard!$C$12, AND(B15&gt;=DATE(2025,12,1), B15&lt;=DATE(2025,12,31)), AQ15/DDashboard!$C$13, True, "")
</f>
        <v>-0.00045</v>
      </c>
      <c r="AS15" s="66">
        <f t="array" ref="AS15">IF(ISBLANK(C15), "", SUM($AR$8:AR15)
)</f>
        <v>-0.151083</v>
      </c>
      <c r="AT15" s="169" t="b">
        <v>0</v>
      </c>
      <c r="AU15" s="169"/>
      <c r="AV15" s="169"/>
      <c r="AW15" s="169"/>
      <c r="AX15" s="170"/>
    </row>
    <row r="16">
      <c r="A16" s="33">
        <v>15.0</v>
      </c>
      <c r="B16" s="184">
        <v>45854.0</v>
      </c>
      <c r="C16" s="212" t="s">
        <v>88</v>
      </c>
      <c r="D16" s="185"/>
      <c r="E16" s="187"/>
      <c r="F16" s="188">
        <v>342.47</v>
      </c>
      <c r="G16" s="189">
        <f t="shared" si="1"/>
        <v>342.47</v>
      </c>
      <c r="H16" s="190">
        <v>335.5</v>
      </c>
      <c r="I16" s="190"/>
      <c r="J16" s="187" t="s">
        <v>48</v>
      </c>
      <c r="K16" s="191">
        <f>IFERROR(__xludf.DUMMYFUNCTION("IF(ISBLANK(C16), """", GOOGLEFINANCE(""NSE:"" &amp; C16,""price""))"),230.0)</f>
        <v>230</v>
      </c>
      <c r="L16" s="192" t="s">
        <v>68</v>
      </c>
      <c r="M16" s="193" t="s">
        <v>89</v>
      </c>
      <c r="N16" s="194">
        <v>204.0</v>
      </c>
      <c r="O16" s="205"/>
      <c r="P16" s="228"/>
      <c r="Q16" s="229"/>
      <c r="R16" s="198"/>
      <c r="S16" s="196"/>
      <c r="T16" s="197"/>
      <c r="U16" s="199">
        <f t="shared" si="2"/>
        <v>69863.88</v>
      </c>
      <c r="V16" s="200">
        <f>IFS(AND(B16&gt;=DATE(2025,1,1), B16&lt;=DATE(2025,1,31)), U16/DDashboard!$C$2, AND(B16&gt;=DATE(2025,2,1), B16&lt;=DATE(2025,2,28)), U16/DDashboard!$C$3, AND(B16&gt;=DATE(2025,3,1), B16&lt;=DATE(2025,3,31)), U16/DDashboard!$C$4, AND(B16&gt;=DATE(2025,4,1), B16&lt;=DATE(2025,4,30)), U16/DDashboard!$C$5,AND(B16&gt;=DATE(2025,5,1), B16&lt;=DATE(2025,5,31)), U16/DDashboard!$C$6,AND(B16&gt;=DATE(2025,6,1), B16&lt;=DATE(2025,6,30)), U16/DDashboard!$C$7,AND(B16&gt;=DATE(2025,7,1), B16&lt;=DATE(2025,7,31)), U16/DDashboard!$C$8,AND(B16&gt;=DATE(2025,8,1), B16&lt;=DATE(2025,8,31)), U16/DDashboard!$C$9,AND(B16&gt;=DATE(2025,9,1), B16&lt;=DATE(2025,9,30)), U16/DDashboard!$C$10,AND(B16&gt;=DATE(2025,10,1), B16&lt;=DATE(2025,10,31)), U16/DDashboard!$C$11,AND(B16&gt;=DATE(2025,11,1), B16&lt;=DATE(2025,11,30)), U16/DDashboard!$C$12, AND(B16&gt;=DATE(2025,12,1), B16&lt;=DATE(2025,12,31)), U16/DDashboard!$C$13, True, "")
</f>
        <v>0.06986388</v>
      </c>
      <c r="W16" s="201">
        <f t="shared" si="3"/>
        <v>0.02035214763</v>
      </c>
      <c r="X16" s="202">
        <v>353.04</v>
      </c>
      <c r="Y16" s="203">
        <v>204.0</v>
      </c>
      <c r="Z16" s="184">
        <v>45854.0</v>
      </c>
      <c r="AA16" s="202"/>
      <c r="AB16" s="203"/>
      <c r="AC16" s="204"/>
      <c r="AD16" s="205"/>
      <c r="AE16" s="203"/>
      <c r="AF16" s="204"/>
      <c r="AG16" s="206" t="str">
        <f t="shared" si="4"/>
        <v/>
      </c>
      <c r="AH16" s="230">
        <f t="shared" si="5"/>
        <v>204</v>
      </c>
      <c r="AI16" s="207">
        <f t="shared" ref="AI16:AI28" si="17">IF(ISBLANK(E16), IF(ISBLANK(X16), K16, IFERROR(IF(ISBLANK(C16),X16*Y16+AA16*AB16+AD16*AE16+AG16*K16,X16*Y16+AA16*AB16+AD16*AE16+AG16*G16)/(Y16+AB16+AE16+AG16) , "")),(X16*Y16+AA16*AB16+AD16*AE16+AG16*G16)/(Y16+AB16+AE16+AG16))</f>
        <v>353.04</v>
      </c>
      <c r="AJ16" s="100">
        <f t="shared" si="7"/>
        <v>0.03086401729</v>
      </c>
      <c r="AK16" s="208">
        <f t="shared" ref="AK16:AK28" si="18">IFERROR(IFS(AND(J16="B",ISBLANK(I16)),(G16-H16)*AG16,AND(J16="B",ISNUMBER(I16)),(G16-I16)*AG16,AND(J16="S",ISBLANK(I16)),(H16-G16)*AG16,AND(J16="S",ISNUMBER(I16)),(I16-G16)*AG16),"")</f>
        <v>0</v>
      </c>
      <c r="AL16" s="207">
        <f t="shared" si="9"/>
        <v>1.516499283</v>
      </c>
      <c r="AM16" s="209">
        <f t="shared" si="16"/>
        <v>0</v>
      </c>
      <c r="AN16" s="164" t="str">
        <f t="shared" si="11"/>
        <v>Closed</v>
      </c>
      <c r="AO16" s="165">
        <f t="shared" si="12"/>
        <v>45854</v>
      </c>
      <c r="AP16" s="210">
        <f t="shared" si="13"/>
        <v>72020.16</v>
      </c>
      <c r="AQ16" s="196">
        <f t="shared" ref="AQ16:AQ28" si="19">IFS(AND(ISBLANK(D16),N16&lt;&gt;"",AN16="Closed",J16="B"),(AH16*AI16)-U16,AND(ISBLANK(D16),N16&lt;&gt;"",AN16&lt;&gt;"Closed",J16="B"),(X16*Y16+AA16*AB16+AD16*AE16+K16*AG16)-U16, AND(ISBLANK(D16),N16&lt;&gt;"",AN16="Closed",J16="S"),U16-(AH16*AI16),AND(ISBLANK(D16),N16&lt;&gt;"",AN16&lt;&gt;"Closed",J16="S"),U16-(X16*Y16+AA16*AB16+AD16*AE16+K16*AG16),AND(D16&lt;&gt;"",N16&lt;&gt;"",AH16&lt;&gt;"",AN16="Closed",J16="B"),(AH16*AI16)-(G16*(AG16+AH16)),AND(D16&lt;&gt;"",N16&lt;&gt;"",AH16&lt;&gt;"",AN16="Closed",J16="S"),(G16*(AG16+AH16))-(AH16*AI16),AND(D16&lt;&gt;"",N16&lt;&gt;"",AN16&lt;&gt;"Closed"),"",ISBLANK(B16),"")</f>
        <v>2156.28</v>
      </c>
      <c r="AR16" s="168">
        <f>IFS(AND(B16&gt;=DATE(2025,1,1), B16&lt;=DATE(2025,1,31)), AQ16/DDashboard!$C$2, AND(B16&gt;=DATE(2025,2,1), B16&lt;=DATE(2025,2,28)), AQ16/DDashboard!$C$3, AND(B16&gt;=DATE(2025,3,1), B16&lt;=DATE(2025,3,31)), AQ16/DDashboard!$C$4, AND(B16&gt;=DATE(2025,4,1), B16&lt;=DATE(2025,4,30)), AQ16/DDashboard!$C$5,AND(B16&gt;=DATE(2025,5,1), B16&lt;=DATE(2025,5,31)), AQ16/DDashboard!$C$6,AND(B16&gt;=DATE(2025,6,1), B16&lt;=DATE(2025,6,30)), AQ16/DDashboard!$C$7,AND(B16&gt;=DATE(2025,7,1), B16&lt;=DATE(2025,7,31)), AQ16/DDashboard!$C$8,AND(B16&gt;=DATE(2025,8,1), B16&lt;=DATE(2025,8,31)), AQ16/DDashboard!$C$9,AND(B16&gt;=DATE(2025,9,1), B16&lt;=DATE(2025,9,30)), AQ16/DDashboard!$C$10,AND(B16&gt;=DATE(2025,10,1), B16&lt;=DATE(2025,10,31)), AQ16/DDashboard!$C$11,AND(B16&gt;=DATE(2025,11,1), B16&lt;=DATE(2025,11,30)), AQ16/DDashboard!$C$12, AND(B16&gt;=DATE(2025,12,1), B16&lt;=DATE(2025,12,31)), AQ16/DDashboard!$C$13, True, "")
</f>
        <v>0.00215628</v>
      </c>
      <c r="AS16" s="66">
        <f t="array" ref="AS16">IF(ISBLANK(C16), "", SUM($AR$8:AR16)
)</f>
        <v>-0.14892672</v>
      </c>
      <c r="AT16" s="169" t="b">
        <v>0</v>
      </c>
      <c r="AU16" s="169" t="s">
        <v>7</v>
      </c>
      <c r="AV16" s="169" t="s">
        <v>51</v>
      </c>
      <c r="AW16" s="169" t="s">
        <v>90</v>
      </c>
      <c r="AX16" s="211"/>
    </row>
    <row r="17">
      <c r="A17" s="231">
        <v>16.0</v>
      </c>
      <c r="B17" s="232">
        <v>45855.0</v>
      </c>
      <c r="C17" s="233" t="s">
        <v>91</v>
      </c>
      <c r="D17" s="234"/>
      <c r="E17" s="235"/>
      <c r="F17" s="236">
        <v>4370.0</v>
      </c>
      <c r="G17" s="237">
        <f t="shared" si="1"/>
        <v>4370</v>
      </c>
      <c r="H17" s="238">
        <v>4335.0</v>
      </c>
      <c r="I17" s="239">
        <v>4390.0</v>
      </c>
      <c r="J17" s="240" t="s">
        <v>48</v>
      </c>
      <c r="K17" s="241">
        <f>IFERROR(__xludf.DUMMYFUNCTION("IF(ISBLANK(C17), """", GOOGLEFINANCE(""NSE:"" &amp; C17,""price""))"),3645.3)</f>
        <v>3645.3</v>
      </c>
      <c r="L17" s="242" t="s">
        <v>92</v>
      </c>
      <c r="M17" s="243"/>
      <c r="N17" s="244">
        <v>20.0</v>
      </c>
      <c r="O17" s="245"/>
      <c r="P17" s="246"/>
      <c r="Q17" s="247"/>
      <c r="R17" s="248"/>
      <c r="S17" s="246"/>
      <c r="T17" s="247"/>
      <c r="U17" s="249">
        <f t="shared" si="2"/>
        <v>87400</v>
      </c>
      <c r="V17" s="66">
        <f>IFS(AND(B17&gt;=DATE(2025,1,1), B17&lt;=DATE(2025,1,31)), U17/DDashboard!$C$2, AND(B17&gt;=DATE(2025,2,1), B17&lt;=DATE(2025,2,28)), U17/DDashboard!$C$3, AND(B17&gt;=DATE(2025,3,1), B17&lt;=DATE(2025,3,31)), U17/DDashboard!$C$4, AND(B17&gt;=DATE(2025,4,1), B17&lt;=DATE(2025,4,30)), U17/DDashboard!$C$5,AND(B17&gt;=DATE(2025,5,1), B17&lt;=DATE(2025,5,31)), U17/DDashboard!$C$6,AND(B17&gt;=DATE(2025,6,1), B17&lt;=DATE(2025,6,30)), U17/DDashboard!$C$7,AND(B17&gt;=DATE(2025,7,1), B17&lt;=DATE(2025,7,31)), U17/DDashboard!$C$8,AND(B17&gt;=DATE(2025,8,1), B17&lt;=DATE(2025,8,31)), U17/DDashboard!$C$9,AND(B17&gt;=DATE(2025,9,1), B17&lt;=DATE(2025,9,30)), U17/DDashboard!$C$10,AND(B17&gt;=DATE(2025,10,1), B17&lt;=DATE(2025,10,31)), U17/DDashboard!$C$11,AND(B17&gt;=DATE(2025,11,1), B17&lt;=DATE(2025,11,30)), U17/DDashboard!$C$12, AND(B17&gt;=DATE(2025,12,1), B17&lt;=DATE(2025,12,31)), U17/DDashboard!$C$13, True, "")
</f>
        <v>0.0874</v>
      </c>
      <c r="W17" s="89">
        <f t="shared" si="3"/>
        <v>0.008009153318</v>
      </c>
      <c r="X17" s="250">
        <v>4462.0</v>
      </c>
      <c r="Y17" s="251">
        <v>5.0</v>
      </c>
      <c r="Z17" s="157">
        <v>45855.0</v>
      </c>
      <c r="AA17" s="252">
        <v>4372.0</v>
      </c>
      <c r="AB17" s="253">
        <v>15.0</v>
      </c>
      <c r="AC17" s="157">
        <v>45856.0</v>
      </c>
      <c r="AD17" s="254"/>
      <c r="AE17" s="255"/>
      <c r="AF17" s="256"/>
      <c r="AG17" s="97" t="str">
        <f t="shared" si="4"/>
        <v/>
      </c>
      <c r="AH17" s="257">
        <f t="shared" si="5"/>
        <v>20</v>
      </c>
      <c r="AI17" s="258">
        <f t="shared" si="17"/>
        <v>4394.5</v>
      </c>
      <c r="AJ17" s="100">
        <f t="shared" si="7"/>
        <v>0.005606407323</v>
      </c>
      <c r="AK17" s="259">
        <f t="shared" si="18"/>
        <v>0</v>
      </c>
      <c r="AL17" s="258">
        <f t="shared" si="9"/>
        <v>0.7</v>
      </c>
      <c r="AM17" s="260">
        <f>IF(AN17="", "", IF(AN17="Closed", IF(ISNUMBER(AF17), AF17-B17,IF(ISNUMBER(AC17), AC17-B17,IF(ISNUMBER(Z17), Z17-B17, ""))), TODAY()-B17))
</f>
        <v>1</v>
      </c>
      <c r="AN17" s="62" t="str">
        <f t="shared" si="11"/>
        <v>Closed</v>
      </c>
      <c r="AO17" s="63">
        <f t="shared" si="12"/>
        <v>45856</v>
      </c>
      <c r="AP17" s="261">
        <f t="shared" si="13"/>
        <v>87890</v>
      </c>
      <c r="AQ17" s="262">
        <f t="shared" si="19"/>
        <v>490</v>
      </c>
      <c r="AR17" s="263">
        <f>IFS(AND(B17&gt;=DATE(2025,1,1), B17&lt;=DATE(2025,1,31)), AQ17/DDashboard!$C$2, AND(B17&gt;=DATE(2025,2,1), B17&lt;=DATE(2025,2,28)), AQ17/DDashboard!$C$3, AND(B17&gt;=DATE(2025,3,1), B17&lt;=DATE(2025,3,31)), AQ17/DDashboard!$C$4, AND(B17&gt;=DATE(2025,4,1), B17&lt;=DATE(2025,4,30)), AQ17/DDashboard!$C$5,AND(B17&gt;=DATE(2025,5,1), B17&lt;=DATE(2025,5,31)), AQ17/DDashboard!$C$6,AND(B17&gt;=DATE(2025,6,1), B17&lt;=DATE(2025,6,30)), AQ17/DDashboard!$C$7,AND(B17&gt;=DATE(2025,7,1), B17&lt;=DATE(2025,7,31)), AQ17/DDashboard!$C$8,AND(B17&gt;=DATE(2025,8,1), B17&lt;=DATE(2025,8,31)), AQ17/DDashboard!$C$9,AND(B17&gt;=DATE(2025,9,1), B17&lt;=DATE(2025,9,30)), AQ17/DDashboard!$C$10,AND(B17&gt;=DATE(2025,10,1), B17&lt;=DATE(2025,10,31)), AQ17/DDashboard!$C$11,AND(B17&gt;=DATE(2025,11,1), B17&lt;=DATE(2025,11,30)), AQ17/DDashboard!$C$12, AND(B17&gt;=DATE(2025,12,1), B17&lt;=DATE(2025,12,31)), AQ17/DDashboard!$C$13, True, "")
</f>
        <v>0.00049</v>
      </c>
      <c r="AS17" s="66">
        <f t="array" ref="AS17">IF(ISBLANK(C17), "", SUM($AR$8:AR17)
)</f>
        <v>-0.14843672</v>
      </c>
      <c r="AT17" s="68" t="b">
        <v>1</v>
      </c>
      <c r="AU17" s="68" t="s">
        <v>93</v>
      </c>
      <c r="AV17" s="68"/>
      <c r="AW17" s="68" t="s">
        <v>69</v>
      </c>
      <c r="AX17" s="234"/>
    </row>
    <row r="18">
      <c r="A18" s="264">
        <v>17.0</v>
      </c>
      <c r="B18" s="265">
        <v>45855.0</v>
      </c>
      <c r="C18" s="266" t="s">
        <v>94</v>
      </c>
      <c r="D18" s="267"/>
      <c r="E18" s="268"/>
      <c r="F18" s="269">
        <v>18750.0</v>
      </c>
      <c r="G18" s="270">
        <f t="shared" si="1"/>
        <v>18750</v>
      </c>
      <c r="H18" s="271">
        <v>18562.0</v>
      </c>
      <c r="I18" s="272">
        <v>18790.0</v>
      </c>
      <c r="J18" s="273" t="s">
        <v>48</v>
      </c>
      <c r="K18" s="274">
        <f>IFERROR(__xludf.DUMMYFUNCTION("IF(ISBLANK(C18), """", GOOGLEFINANCE(""NSE:"" &amp; C18,""price""))"),29945.0)</f>
        <v>29945</v>
      </c>
      <c r="L18" s="275" t="s">
        <v>79</v>
      </c>
      <c r="M18" s="276" t="s">
        <v>50</v>
      </c>
      <c r="N18" s="277">
        <v>5.0</v>
      </c>
      <c r="O18" s="278"/>
      <c r="P18" s="279"/>
      <c r="Q18" s="280"/>
      <c r="R18" s="281"/>
      <c r="S18" s="279"/>
      <c r="T18" s="280"/>
      <c r="U18" s="282">
        <f t="shared" si="2"/>
        <v>93750</v>
      </c>
      <c r="V18" s="283">
        <f>IFS(AND(B18&gt;=DATE(2025,1,1), B18&lt;=DATE(2025,1,31)), U18/DDashboard!$C$2, AND(B18&gt;=DATE(2025,2,1), B18&lt;=DATE(2025,2,28)), U18/DDashboard!$C$3, AND(B18&gt;=DATE(2025,3,1), B18&lt;=DATE(2025,3,31)), U18/DDashboard!$C$4, AND(B18&gt;=DATE(2025,4,1), B18&lt;=DATE(2025,4,30)), U18/DDashboard!$C$5,AND(B18&gt;=DATE(2025,5,1), B18&lt;=DATE(2025,5,31)), U18/DDashboard!$C$6,AND(B18&gt;=DATE(2025,6,1), B18&lt;=DATE(2025,6,30)), U18/DDashboard!$C$7,AND(B18&gt;=DATE(2025,7,1), B18&lt;=DATE(2025,7,31)), U18/DDashboard!$C$8,AND(B18&gt;=DATE(2025,8,1), B18&lt;=DATE(2025,8,31)), U18/DDashboard!$C$9,AND(B18&gt;=DATE(2025,9,1), B18&lt;=DATE(2025,9,30)), U18/DDashboard!$C$10,AND(B18&gt;=DATE(2025,10,1), B18&lt;=DATE(2025,10,31)), U18/DDashboard!$C$11,AND(B18&gt;=DATE(2025,11,1), B18&lt;=DATE(2025,11,30)), U18/DDashboard!$C$12, AND(B18&gt;=DATE(2025,12,1), B18&lt;=DATE(2025,12,31)), U18/DDashboard!$C$13, True, "")
</f>
        <v>0.09375</v>
      </c>
      <c r="W18" s="127">
        <f t="shared" si="3"/>
        <v>0.01002666667</v>
      </c>
      <c r="X18" s="284">
        <v>18860.0</v>
      </c>
      <c r="Y18" s="285">
        <v>5.0</v>
      </c>
      <c r="Z18" s="184">
        <v>45859.0</v>
      </c>
      <c r="AA18" s="281"/>
      <c r="AB18" s="279"/>
      <c r="AC18" s="286"/>
      <c r="AD18" s="278"/>
      <c r="AE18" s="279"/>
      <c r="AF18" s="286"/>
      <c r="AG18" s="131" t="str">
        <f t="shared" si="4"/>
        <v/>
      </c>
      <c r="AH18" s="287">
        <f t="shared" si="5"/>
        <v>5</v>
      </c>
      <c r="AI18" s="288">
        <f t="shared" si="17"/>
        <v>18860</v>
      </c>
      <c r="AJ18" s="100">
        <f t="shared" si="7"/>
        <v>0.005866666667</v>
      </c>
      <c r="AK18" s="289">
        <f t="shared" si="18"/>
        <v>0</v>
      </c>
      <c r="AL18" s="288">
        <f t="shared" si="9"/>
        <v>0.585106383</v>
      </c>
      <c r="AM18" s="290">
        <f t="shared" ref="AM18:AM24" si="20">IF(AN18="", "", IF(AN18="Closed", 
    IF(ISNUMBER(AF18), AF18-B18,
        IF(ISNUMBER(AC18), AC18-B18,
            IF(ISNUMBER(Z18), Z18-B18, "")
        )
    ), 
    TODAY()-B18))</f>
        <v>4</v>
      </c>
      <c r="AN18" s="103" t="str">
        <f t="shared" si="11"/>
        <v>Closed</v>
      </c>
      <c r="AO18" s="104">
        <f t="shared" si="12"/>
        <v>45859</v>
      </c>
      <c r="AP18" s="291">
        <f t="shared" si="13"/>
        <v>94300</v>
      </c>
      <c r="AQ18" s="287">
        <f t="shared" si="19"/>
        <v>550</v>
      </c>
      <c r="AR18" s="292">
        <f>IFS(AND(B18&gt;=DATE(2025,1,1), B18&lt;=DATE(2025,1,31)), AQ18/DDashboard!$C$2, AND(B18&gt;=DATE(2025,2,1), B18&lt;=DATE(2025,2,28)), AQ18/DDashboard!$C$3, AND(B18&gt;=DATE(2025,3,1), B18&lt;=DATE(2025,3,31)), AQ18/DDashboard!$C$4, AND(B18&gt;=DATE(2025,4,1), B18&lt;=DATE(2025,4,30)), AQ18/DDashboard!$C$5,AND(B18&gt;=DATE(2025,5,1), B18&lt;=DATE(2025,5,31)), AQ18/DDashboard!$C$6,AND(B18&gt;=DATE(2025,6,1), B18&lt;=DATE(2025,6,30)), AQ18/DDashboard!$C$7,AND(B18&gt;=DATE(2025,7,1), B18&lt;=DATE(2025,7,31)), AQ18/DDashboard!$C$8,AND(B18&gt;=DATE(2025,8,1), B18&lt;=DATE(2025,8,31)), AQ18/DDashboard!$C$9,AND(B18&gt;=DATE(2025,9,1), B18&lt;=DATE(2025,9,30)), AQ18/DDashboard!$C$10,AND(B18&gt;=DATE(2025,10,1), B18&lt;=DATE(2025,10,31)), AQ18/DDashboard!$C$11,AND(B18&gt;=DATE(2025,11,1), B18&lt;=DATE(2025,11,30)), AQ18/DDashboard!$C$12, AND(B18&gt;=DATE(2025,12,1), B18&lt;=DATE(2025,12,31)), AQ18/DDashboard!$C$13, True, "")
</f>
        <v>0.00055</v>
      </c>
      <c r="AS18" s="66">
        <f t="array" ref="AS18">IF(ISBLANK(C18), "", SUM($AR$8:AR18)
)</f>
        <v>-0.14788672</v>
      </c>
      <c r="AT18" s="68" t="b">
        <v>1</v>
      </c>
      <c r="AU18" s="68" t="s">
        <v>93</v>
      </c>
      <c r="AV18" s="293"/>
      <c r="AW18" s="67" t="s">
        <v>75</v>
      </c>
      <c r="AX18" s="267"/>
    </row>
    <row r="19">
      <c r="A19" s="70">
        <v>18.0</v>
      </c>
      <c r="B19" s="138">
        <v>45856.0</v>
      </c>
      <c r="C19" s="216" t="s">
        <v>95</v>
      </c>
      <c r="D19" s="139"/>
      <c r="E19" s="141"/>
      <c r="F19" s="142">
        <v>399.25</v>
      </c>
      <c r="G19" s="143">
        <f t="shared" si="1"/>
        <v>399.25</v>
      </c>
      <c r="H19" s="144">
        <v>394.0</v>
      </c>
      <c r="I19" s="144"/>
      <c r="J19" s="141" t="s">
        <v>48</v>
      </c>
      <c r="K19" s="145">
        <f>IFERROR(__xludf.DUMMYFUNCTION("IF(ISBLANK(C19), """", GOOGLEFINANCE(""NSE:"" &amp; C19,""price""))"),304.7)</f>
        <v>304.7</v>
      </c>
      <c r="L19" s="146" t="s">
        <v>92</v>
      </c>
      <c r="M19" s="147"/>
      <c r="N19" s="148">
        <v>150.0</v>
      </c>
      <c r="O19" s="217"/>
      <c r="P19" s="218"/>
      <c r="Q19" s="138"/>
      <c r="R19" s="219"/>
      <c r="S19" s="218"/>
      <c r="T19" s="151"/>
      <c r="U19" s="153">
        <f t="shared" si="2"/>
        <v>59887.5</v>
      </c>
      <c r="V19" s="154">
        <f>IFS(AND(B19&gt;=DATE(2025,1,1), B19&lt;=DATE(2025,1,31)), U19/DDashboard!$C$2, AND(B19&gt;=DATE(2025,2,1), B19&lt;=DATE(2025,2,28)), U19/DDashboard!$C$3, AND(B19&gt;=DATE(2025,3,1), B19&lt;=DATE(2025,3,31)), U19/DDashboard!$C$4, AND(B19&gt;=DATE(2025,4,1), B19&lt;=DATE(2025,4,30)), U19/DDashboard!$C$5,AND(B19&gt;=DATE(2025,5,1), B19&lt;=DATE(2025,5,31)), U19/DDashboard!$C$6,AND(B19&gt;=DATE(2025,6,1), B19&lt;=DATE(2025,6,30)), U19/DDashboard!$C$7,AND(B19&gt;=DATE(2025,7,1), B19&lt;=DATE(2025,7,31)), U19/DDashboard!$C$8,AND(B19&gt;=DATE(2025,8,1), B19&lt;=DATE(2025,8,31)), U19/DDashboard!$C$9,AND(B19&gt;=DATE(2025,9,1), B19&lt;=DATE(2025,9,30)), U19/DDashboard!$C$10,AND(B19&gt;=DATE(2025,10,1), B19&lt;=DATE(2025,10,31)), U19/DDashboard!$C$11,AND(B19&gt;=DATE(2025,11,1), B19&lt;=DATE(2025,11,30)), U19/DDashboard!$C$12, AND(B19&gt;=DATE(2025,12,1), B19&lt;=DATE(2025,12,31)), U19/DDashboard!$C$13, True, "")
</f>
        <v>0.0598875</v>
      </c>
      <c r="W19" s="65">
        <f t="shared" si="3"/>
        <v>0.0131496556</v>
      </c>
      <c r="X19" s="155">
        <v>393.5</v>
      </c>
      <c r="Y19" s="156">
        <v>150.0</v>
      </c>
      <c r="Z19" s="157">
        <v>45856.0</v>
      </c>
      <c r="AA19" s="155"/>
      <c r="AB19" s="156"/>
      <c r="AC19" s="182"/>
      <c r="AD19" s="159"/>
      <c r="AE19" s="156"/>
      <c r="AF19" s="158"/>
      <c r="AG19" s="220" t="str">
        <f t="shared" si="4"/>
        <v/>
      </c>
      <c r="AH19" s="150">
        <f t="shared" si="5"/>
        <v>150</v>
      </c>
      <c r="AI19" s="161">
        <f t="shared" si="17"/>
        <v>393.5</v>
      </c>
      <c r="AJ19" s="100">
        <f t="shared" si="7"/>
        <v>-0.01440200376</v>
      </c>
      <c r="AK19" s="162">
        <f t="shared" si="18"/>
        <v>0</v>
      </c>
      <c r="AL19" s="161">
        <f t="shared" si="9"/>
        <v>-1.095238095</v>
      </c>
      <c r="AM19" s="163">
        <f t="shared" si="20"/>
        <v>0</v>
      </c>
      <c r="AN19" s="164" t="str">
        <f t="shared" si="11"/>
        <v>Closed</v>
      </c>
      <c r="AO19" s="165">
        <f t="shared" si="12"/>
        <v>45856</v>
      </c>
      <c r="AP19" s="166">
        <f t="shared" si="13"/>
        <v>59025</v>
      </c>
      <c r="AQ19" s="167">
        <f t="shared" si="19"/>
        <v>-862.5</v>
      </c>
      <c r="AR19" s="168">
        <f>IFS(AND(B19&gt;=DATE(2025,1,1), B19&lt;=DATE(2025,1,31)), AQ19/DDashboard!$C$2, AND(B19&gt;=DATE(2025,2,1), B19&lt;=DATE(2025,2,28)), AQ19/DDashboard!$C$3, AND(B19&gt;=DATE(2025,3,1), B19&lt;=DATE(2025,3,31)), AQ19/DDashboard!$C$4, AND(B19&gt;=DATE(2025,4,1), B19&lt;=DATE(2025,4,30)), AQ19/DDashboard!$C$5,AND(B19&gt;=DATE(2025,5,1), B19&lt;=DATE(2025,5,31)), AQ19/DDashboard!$C$6,AND(B19&gt;=DATE(2025,6,1), B19&lt;=DATE(2025,6,30)), AQ19/DDashboard!$C$7,AND(B19&gt;=DATE(2025,7,1), B19&lt;=DATE(2025,7,31)), AQ19/DDashboard!$C$8,AND(B19&gt;=DATE(2025,8,1), B19&lt;=DATE(2025,8,31)), AQ19/DDashboard!$C$9,AND(B19&gt;=DATE(2025,9,1), B19&lt;=DATE(2025,9,30)), AQ19/DDashboard!$C$10,AND(B19&gt;=DATE(2025,10,1), B19&lt;=DATE(2025,10,31)), AQ19/DDashboard!$C$11,AND(B19&gt;=DATE(2025,11,1), B19&lt;=DATE(2025,11,30)), AQ19/DDashboard!$C$12, AND(B19&gt;=DATE(2025,12,1), B19&lt;=DATE(2025,12,31)), AQ19/DDashboard!$C$13, True, "")
</f>
        <v>-0.0008625</v>
      </c>
      <c r="AS19" s="66">
        <f t="array" ref="AS19">IF(ISBLANK(C19), "", SUM($AR$8:AR19)
)</f>
        <v>-0.14874922</v>
      </c>
      <c r="AT19" s="169" t="b">
        <v>0</v>
      </c>
      <c r="AU19" s="169" t="s">
        <v>7</v>
      </c>
      <c r="AV19" s="169"/>
      <c r="AW19" s="169" t="s">
        <v>82</v>
      </c>
      <c r="AX19" s="170"/>
    </row>
    <row r="20">
      <c r="A20" s="264">
        <v>19.0</v>
      </c>
      <c r="B20" s="294">
        <v>45859.0</v>
      </c>
      <c r="C20" s="295" t="s">
        <v>96</v>
      </c>
      <c r="D20" s="296"/>
      <c r="E20" s="297"/>
      <c r="F20" s="298">
        <v>286.81</v>
      </c>
      <c r="G20" s="299">
        <f t="shared" si="1"/>
        <v>286.81</v>
      </c>
      <c r="H20" s="300">
        <v>283.0</v>
      </c>
      <c r="I20" s="301"/>
      <c r="J20" s="302" t="s">
        <v>48</v>
      </c>
      <c r="K20" s="303">
        <f>IFERROR(__xludf.DUMMYFUNCTION("IF(ISBLANK(C20), """", GOOGLEFINANCE(""NSE:"" &amp; C20,""price""))"),208.9)</f>
        <v>208.9</v>
      </c>
      <c r="L20" s="304" t="s">
        <v>81</v>
      </c>
      <c r="M20" s="305" t="s">
        <v>50</v>
      </c>
      <c r="N20" s="306">
        <v>200.0</v>
      </c>
      <c r="O20" s="307"/>
      <c r="P20" s="308"/>
      <c r="Q20" s="309"/>
      <c r="R20" s="310"/>
      <c r="S20" s="308"/>
      <c r="T20" s="309"/>
      <c r="U20" s="311">
        <f t="shared" si="2"/>
        <v>57362</v>
      </c>
      <c r="V20" s="312">
        <f>IFS(AND(B20&gt;=DATE(2025,1,1), B20&lt;=DATE(2025,1,31)), U20/DDashboard!$C$2, AND(B20&gt;=DATE(2025,2,1), B20&lt;=DATE(2025,2,28)), U20/DDashboard!$C$3, AND(B20&gt;=DATE(2025,3,1), B20&lt;=DATE(2025,3,31)), U20/DDashboard!$C$4, AND(B20&gt;=DATE(2025,4,1), B20&lt;=DATE(2025,4,30)), U20/DDashboard!$C$5,AND(B20&gt;=DATE(2025,5,1), B20&lt;=DATE(2025,5,31)), U20/DDashboard!$C$6,AND(B20&gt;=DATE(2025,6,1), B20&lt;=DATE(2025,6,30)), U20/DDashboard!$C$7,AND(B20&gt;=DATE(2025,7,1), B20&lt;=DATE(2025,7,31)), U20/DDashboard!$C$8,AND(B20&gt;=DATE(2025,8,1), B20&lt;=DATE(2025,8,31)), U20/DDashboard!$C$9,AND(B20&gt;=DATE(2025,9,1), B20&lt;=DATE(2025,9,30)), U20/DDashboard!$C$10,AND(B20&gt;=DATE(2025,10,1), B20&lt;=DATE(2025,10,31)), U20/DDashboard!$C$11,AND(B20&gt;=DATE(2025,11,1), B20&lt;=DATE(2025,11,30)), U20/DDashboard!$C$12, AND(B20&gt;=DATE(2025,12,1), B20&lt;=DATE(2025,12,31)), U20/DDashboard!$C$13, True, "")
</f>
        <v>0.057362</v>
      </c>
      <c r="W20" s="52">
        <f t="shared" si="3"/>
        <v>0.01328405565</v>
      </c>
      <c r="X20" s="313">
        <v>282.0</v>
      </c>
      <c r="Y20" s="314">
        <v>200.0</v>
      </c>
      <c r="Z20" s="184">
        <v>45859.0</v>
      </c>
      <c r="AA20" s="310"/>
      <c r="AB20" s="308"/>
      <c r="AC20" s="315"/>
      <c r="AD20" s="307"/>
      <c r="AE20" s="308"/>
      <c r="AF20" s="315"/>
      <c r="AG20" s="56" t="str">
        <f t="shared" si="4"/>
        <v/>
      </c>
      <c r="AH20" s="316">
        <f t="shared" si="5"/>
        <v>200</v>
      </c>
      <c r="AI20" s="317">
        <f t="shared" si="17"/>
        <v>282</v>
      </c>
      <c r="AJ20" s="100">
        <f t="shared" si="7"/>
        <v>-0.01677068443</v>
      </c>
      <c r="AK20" s="318">
        <f t="shared" si="18"/>
        <v>0</v>
      </c>
      <c r="AL20" s="317">
        <f t="shared" si="9"/>
        <v>-1.262467192</v>
      </c>
      <c r="AM20" s="319">
        <f t="shared" si="20"/>
        <v>0</v>
      </c>
      <c r="AN20" s="103" t="str">
        <f t="shared" si="11"/>
        <v>Closed</v>
      </c>
      <c r="AO20" s="104">
        <f t="shared" si="12"/>
        <v>45859</v>
      </c>
      <c r="AP20" s="320">
        <f t="shared" si="13"/>
        <v>56400</v>
      </c>
      <c r="AQ20" s="316">
        <f t="shared" si="19"/>
        <v>-962</v>
      </c>
      <c r="AR20" s="52">
        <f>IFS(AND(B20&gt;=DATE(2025,1,1), B20&lt;=DATE(2025,1,31)), AQ20/DDashboard!$C$2, AND(B20&gt;=DATE(2025,2,1), B20&lt;=DATE(2025,2,28)), AQ20/DDashboard!$C$3, AND(B20&gt;=DATE(2025,3,1), B20&lt;=DATE(2025,3,31)), AQ20/DDashboard!$C$4, AND(B20&gt;=DATE(2025,4,1), B20&lt;=DATE(2025,4,30)), AQ20/DDashboard!$C$5,AND(B20&gt;=DATE(2025,5,1), B20&lt;=DATE(2025,5,31)), AQ20/DDashboard!$C$6,AND(B20&gt;=DATE(2025,6,1), B20&lt;=DATE(2025,6,30)), AQ20/DDashboard!$C$7,AND(B20&gt;=DATE(2025,7,1), B20&lt;=DATE(2025,7,31)), AQ20/DDashboard!$C$8,AND(B20&gt;=DATE(2025,8,1), B20&lt;=DATE(2025,8,31)), AQ20/DDashboard!$C$9,AND(B20&gt;=DATE(2025,9,1), B20&lt;=DATE(2025,9,30)), AQ20/DDashboard!$C$10,AND(B20&gt;=DATE(2025,10,1), B20&lt;=DATE(2025,10,31)), AQ20/DDashboard!$C$11,AND(B20&gt;=DATE(2025,11,1), B20&lt;=DATE(2025,11,30)), AQ20/DDashboard!$C$12, AND(B20&gt;=DATE(2025,12,1), B20&lt;=DATE(2025,12,31)), AQ20/DDashboard!$C$13, True, "")
</f>
        <v>-0.000962</v>
      </c>
      <c r="AS20" s="66">
        <f t="array" ref="AS20">IF(ISBLANK(C20), "", SUM($AR$8:AR20)
)</f>
        <v>-0.14971122</v>
      </c>
      <c r="AT20" s="68" t="b">
        <v>0</v>
      </c>
      <c r="AU20" s="68" t="s">
        <v>7</v>
      </c>
      <c r="AV20" s="293"/>
      <c r="AW20" s="68" t="s">
        <v>82</v>
      </c>
      <c r="AX20" s="296"/>
    </row>
    <row r="21">
      <c r="A21" s="70">
        <v>20.0</v>
      </c>
      <c r="B21" s="138">
        <v>45859.0</v>
      </c>
      <c r="C21" s="216" t="s">
        <v>97</v>
      </c>
      <c r="D21" s="321">
        <v>45869.0</v>
      </c>
      <c r="E21" s="141"/>
      <c r="F21" s="142">
        <v>16233.0</v>
      </c>
      <c r="G21" s="143">
        <f t="shared" si="1"/>
        <v>16233</v>
      </c>
      <c r="H21" s="144">
        <v>16183.0</v>
      </c>
      <c r="I21" s="144"/>
      <c r="J21" s="141" t="s">
        <v>48</v>
      </c>
      <c r="K21" s="145">
        <f>IFERROR(__xludf.DUMMYFUNCTION("IF(ISBLANK(C21), """", GOOGLEFINANCE(""NSE:"" &amp; C21,""price""))"),11271.0)</f>
        <v>11271</v>
      </c>
      <c r="L21" s="322" t="s">
        <v>57</v>
      </c>
      <c r="M21" s="323" t="s">
        <v>72</v>
      </c>
      <c r="N21" s="148">
        <v>50.0</v>
      </c>
      <c r="O21" s="217"/>
      <c r="P21" s="218"/>
      <c r="Q21" s="138"/>
      <c r="R21" s="219"/>
      <c r="S21" s="218"/>
      <c r="T21" s="151"/>
      <c r="U21" s="324">
        <v>216000.0</v>
      </c>
      <c r="V21" s="154">
        <f>IFS(AND(B21&gt;=DATE(2025,1,1), B21&lt;=DATE(2025,1,31)), U21/DDashboard!$C$2, AND(B21&gt;=DATE(2025,2,1), B21&lt;=DATE(2025,2,28)), U21/DDashboard!$C$3, AND(B21&gt;=DATE(2025,3,1), B21&lt;=DATE(2025,3,31)), U21/DDashboard!$C$4, AND(B21&gt;=DATE(2025,4,1), B21&lt;=DATE(2025,4,30)), U21/DDashboard!$C$5,AND(B21&gt;=DATE(2025,5,1), B21&lt;=DATE(2025,5,31)), U21/DDashboard!$C$6,AND(B21&gt;=DATE(2025,6,1), B21&lt;=DATE(2025,6,30)), U21/DDashboard!$C$7,AND(B21&gt;=DATE(2025,7,1), B21&lt;=DATE(2025,7,31)), U21/DDashboard!$C$8,AND(B21&gt;=DATE(2025,8,1), B21&lt;=DATE(2025,8,31)), U21/DDashboard!$C$9,AND(B21&gt;=DATE(2025,9,1), B21&lt;=DATE(2025,9,30)), U21/DDashboard!$C$10,AND(B21&gt;=DATE(2025,10,1), B21&lt;=DATE(2025,10,31)), U21/DDashboard!$C$11,AND(B21&gt;=DATE(2025,11,1), B21&lt;=DATE(2025,11,30)), U21/DDashboard!$C$12, AND(B21&gt;=DATE(2025,12,1), B21&lt;=DATE(2025,12,31)), U21/DDashboard!$C$13, True, "")
</f>
        <v>0.216</v>
      </c>
      <c r="W21" s="65">
        <f t="shared" si="3"/>
        <v>0.003080145383</v>
      </c>
      <c r="X21" s="250">
        <v>16350.0</v>
      </c>
      <c r="Y21" s="251">
        <v>50.0</v>
      </c>
      <c r="Z21" s="157">
        <v>45859.0</v>
      </c>
      <c r="AA21" s="155"/>
      <c r="AB21" s="156"/>
      <c r="AC21" s="182"/>
      <c r="AD21" s="159"/>
      <c r="AE21" s="156"/>
      <c r="AF21" s="158"/>
      <c r="AG21" s="220" t="str">
        <f t="shared" si="4"/>
        <v/>
      </c>
      <c r="AH21" s="150">
        <f t="shared" si="5"/>
        <v>50</v>
      </c>
      <c r="AI21" s="161">
        <f t="shared" si="17"/>
        <v>16350</v>
      </c>
      <c r="AJ21" s="100">
        <f t="shared" si="7"/>
        <v>0.007207540196</v>
      </c>
      <c r="AK21" s="162">
        <f t="shared" si="18"/>
        <v>0</v>
      </c>
      <c r="AL21" s="161">
        <f t="shared" si="9"/>
        <v>2.34</v>
      </c>
      <c r="AM21" s="163">
        <f t="shared" si="20"/>
        <v>0</v>
      </c>
      <c r="AN21" s="164" t="str">
        <f t="shared" si="11"/>
        <v>Closed</v>
      </c>
      <c r="AO21" s="165">
        <f t="shared" si="12"/>
        <v>45859</v>
      </c>
      <c r="AP21" s="166">
        <f t="shared" si="13"/>
        <v>817500</v>
      </c>
      <c r="AQ21" s="167">
        <f t="shared" si="19"/>
        <v>5850</v>
      </c>
      <c r="AR21" s="325">
        <f>IFS(AND(B21&gt;=DATE(2025,1,1), B21&lt;=DATE(2025,1,31)), AQ21/DDashboard!$C$2, AND(B21&gt;=DATE(2025,2,1), B21&lt;=DATE(2025,2,28)), AQ21/DDashboard!$C$3, AND(B21&gt;=DATE(2025,3,1), B21&lt;=DATE(2025,3,31)), AQ21/DDashboard!$C$4, AND(B21&gt;=DATE(2025,4,1), B21&lt;=DATE(2025,4,30)), AQ21/DDashboard!$C$5,AND(B21&gt;=DATE(2025,5,1), B21&lt;=DATE(2025,5,31)), AQ21/DDashboard!$C$6,AND(B21&gt;=DATE(2025,6,1), B21&lt;=DATE(2025,6,30)), AQ21/DDashboard!$C$7,AND(B21&gt;=DATE(2025,7,1), B21&lt;=DATE(2025,7,31)), AQ21/DDashboard!$C$8,AND(B21&gt;=DATE(2025,8,1), B21&lt;=DATE(2025,8,31)), AQ21/DDashboard!$C$9,AND(B21&gt;=DATE(2025,9,1), B21&lt;=DATE(2025,9,30)), AQ21/DDashboard!$C$10,AND(B21&gt;=DATE(2025,10,1), B21&lt;=DATE(2025,10,31)), AQ21/DDashboard!$C$11,AND(B21&gt;=DATE(2025,11,1), B21&lt;=DATE(2025,11,30)), AQ21/DDashboard!$C$12, AND(B21&gt;=DATE(2025,12,1), B21&lt;=DATE(2025,12,31)), AQ21/DDashboard!$C$13, True, "")
</f>
        <v>0.00585</v>
      </c>
      <c r="AS21" s="66">
        <f t="array" ref="AS21">IF(ISBLANK(C21), "", SUM($AR$8:AR21)
)</f>
        <v>-0.14386122</v>
      </c>
      <c r="AT21" s="169" t="b">
        <v>1</v>
      </c>
      <c r="AU21" s="169" t="s">
        <v>98</v>
      </c>
      <c r="AV21" s="169" t="s">
        <v>55</v>
      </c>
      <c r="AW21" s="169"/>
      <c r="AX21" s="170"/>
    </row>
    <row r="22">
      <c r="A22" s="33">
        <v>21.0</v>
      </c>
      <c r="B22" s="221">
        <v>45859.0</v>
      </c>
      <c r="C22" s="326" t="s">
        <v>97</v>
      </c>
      <c r="D22" s="327"/>
      <c r="E22" s="328"/>
      <c r="F22" s="329">
        <v>16180.0</v>
      </c>
      <c r="G22" s="330">
        <f t="shared" si="1"/>
        <v>16180</v>
      </c>
      <c r="H22" s="331">
        <v>16150.0</v>
      </c>
      <c r="I22" s="331"/>
      <c r="J22" s="328" t="s">
        <v>48</v>
      </c>
      <c r="K22" s="332">
        <f>IFERROR(__xludf.DUMMYFUNCTION("IF(ISBLANK(C22), """", GOOGLEFINANCE(""NSE:"" &amp; C22,""price""))"),11271.0)</f>
        <v>11271</v>
      </c>
      <c r="L22" s="333" t="s">
        <v>57</v>
      </c>
      <c r="M22" s="334" t="s">
        <v>72</v>
      </c>
      <c r="N22" s="335">
        <v>50.0</v>
      </c>
      <c r="O22" s="336"/>
      <c r="P22" s="337"/>
      <c r="Q22" s="221"/>
      <c r="R22" s="338"/>
      <c r="S22" s="337"/>
      <c r="T22" s="339"/>
      <c r="U22" s="340">
        <f t="shared" ref="U22:U28" si="21">if(G22*N22&lt;&gt;0, F22*N22+O22*P22+R22*S22, "")</f>
        <v>809000</v>
      </c>
      <c r="V22" s="341">
        <f>IFS(AND(B22&gt;=DATE(2025,1,1), B22&lt;=DATE(2025,1,31)), U22/DDashboard!$C$2, AND(B22&gt;=DATE(2025,2,1), B22&lt;=DATE(2025,2,28)), U22/DDashboard!$C$3, AND(B22&gt;=DATE(2025,3,1), B22&lt;=DATE(2025,3,31)), U22/DDashboard!$C$4, AND(B22&gt;=DATE(2025,4,1), B22&lt;=DATE(2025,4,30)), U22/DDashboard!$C$5,AND(B22&gt;=DATE(2025,5,1), B22&lt;=DATE(2025,5,31)), U22/DDashboard!$C$6,AND(B22&gt;=DATE(2025,6,1), B22&lt;=DATE(2025,6,30)), U22/DDashboard!$C$7,AND(B22&gt;=DATE(2025,7,1), B22&lt;=DATE(2025,7,31)), U22/DDashboard!$C$8,AND(B22&gt;=DATE(2025,8,1), B22&lt;=DATE(2025,8,31)), U22/DDashboard!$C$9,AND(B22&gt;=DATE(2025,9,1), B22&lt;=DATE(2025,9,30)), U22/DDashboard!$C$10,AND(B22&gt;=DATE(2025,10,1), B22&lt;=DATE(2025,10,31)), U22/DDashboard!$C$11,AND(B22&gt;=DATE(2025,11,1), B22&lt;=DATE(2025,11,30)), U22/DDashboard!$C$12, AND(B22&gt;=DATE(2025,12,1), B22&lt;=DATE(2025,12,31)), U22/DDashboard!$C$13, True, "")
</f>
        <v>0.809</v>
      </c>
      <c r="W22" s="342">
        <f t="shared" si="3"/>
        <v>0.001854140915</v>
      </c>
      <c r="X22" s="284">
        <v>16240.78</v>
      </c>
      <c r="Y22" s="285">
        <v>50.0</v>
      </c>
      <c r="Z22" s="184">
        <v>45859.0</v>
      </c>
      <c r="AA22" s="343"/>
      <c r="AB22" s="337"/>
      <c r="AC22" s="344"/>
      <c r="AD22" s="345"/>
      <c r="AE22" s="337"/>
      <c r="AF22" s="346"/>
      <c r="AG22" s="64" t="str">
        <f t="shared" si="4"/>
        <v/>
      </c>
      <c r="AH22" s="230">
        <f t="shared" si="5"/>
        <v>50</v>
      </c>
      <c r="AI22" s="224">
        <f t="shared" si="17"/>
        <v>16240.78</v>
      </c>
      <c r="AJ22" s="100">
        <f t="shared" si="7"/>
        <v>0.003756489493</v>
      </c>
      <c r="AK22" s="347">
        <f t="shared" si="18"/>
        <v>0</v>
      </c>
      <c r="AL22" s="224" t="str">
        <f>IFERROR(#REF!/W22, "")</f>
        <v/>
      </c>
      <c r="AM22" s="348">
        <f t="shared" si="20"/>
        <v>0</v>
      </c>
      <c r="AN22" s="164" t="str">
        <f t="shared" si="11"/>
        <v>Closed</v>
      </c>
      <c r="AO22" s="165">
        <f t="shared" si="12"/>
        <v>45859</v>
      </c>
      <c r="AP22" s="349">
        <f t="shared" si="13"/>
        <v>812039</v>
      </c>
      <c r="AQ22" s="230">
        <f t="shared" si="19"/>
        <v>3039</v>
      </c>
      <c r="AR22" s="350">
        <f>IFS(AND(B22&gt;=DATE(2025,1,1), B22&lt;=DATE(2025,1,31)), AQ22/DDashboard!$C$2, AND(B22&gt;=DATE(2025,2,1), B22&lt;=DATE(2025,2,28)), AQ22/DDashboard!$C$3, AND(B22&gt;=DATE(2025,3,1), B22&lt;=DATE(2025,3,31)), AQ22/DDashboard!$C$4, AND(B22&gt;=DATE(2025,4,1), B22&lt;=DATE(2025,4,30)), AQ22/DDashboard!$C$5,AND(B22&gt;=DATE(2025,5,1), B22&lt;=DATE(2025,5,31)), AQ22/DDashboard!$C$6,AND(B22&gt;=DATE(2025,6,1), B22&lt;=DATE(2025,6,30)), AQ22/DDashboard!$C$7,AND(B22&gt;=DATE(2025,7,1), B22&lt;=DATE(2025,7,31)), AQ22/DDashboard!$C$8,AND(B22&gt;=DATE(2025,8,1), B22&lt;=DATE(2025,8,31)), AQ22/DDashboard!$C$9,AND(B22&gt;=DATE(2025,9,1), B22&lt;=DATE(2025,9,30)), AQ22/DDashboard!$C$10,AND(B22&gt;=DATE(2025,10,1), B22&lt;=DATE(2025,10,31)), AQ22/DDashboard!$C$11,AND(B22&gt;=DATE(2025,11,1), B22&lt;=DATE(2025,11,30)), AQ22/DDashboard!$C$12, AND(B22&gt;=DATE(2025,12,1), B22&lt;=DATE(2025,12,31)), AQ22/DDashboard!$C$13, True, "")
</f>
        <v>0.003039</v>
      </c>
      <c r="AS22" s="66">
        <f t="array" ref="AS22">IF(ISBLANK(C22), "", SUM($AR$8:AR22)
)</f>
        <v>-0.14082222</v>
      </c>
      <c r="AT22" s="169" t="b">
        <v>1</v>
      </c>
      <c r="AU22" s="169" t="s">
        <v>98</v>
      </c>
      <c r="AV22" s="169" t="s">
        <v>99</v>
      </c>
      <c r="AW22" s="169"/>
      <c r="AX22" s="351"/>
    </row>
    <row r="23">
      <c r="A23" s="70">
        <v>22.0</v>
      </c>
      <c r="B23" s="138">
        <v>45859.0</v>
      </c>
      <c r="C23" s="216" t="s">
        <v>67</v>
      </c>
      <c r="D23" s="321"/>
      <c r="E23" s="141"/>
      <c r="F23" s="142">
        <v>738.5</v>
      </c>
      <c r="G23" s="143">
        <f t="shared" si="1"/>
        <v>738.5</v>
      </c>
      <c r="H23" s="144">
        <v>725.0</v>
      </c>
      <c r="I23" s="144"/>
      <c r="J23" s="141" t="s">
        <v>48</v>
      </c>
      <c r="K23" s="145">
        <f>IFERROR(__xludf.DUMMYFUNCTION("IF(ISBLANK(C23), """", GOOGLEFINANCE(""NSE:"" &amp; C23,""price""))"),594.0)</f>
        <v>594</v>
      </c>
      <c r="L23" s="322" t="s">
        <v>81</v>
      </c>
      <c r="M23" s="323" t="s">
        <v>72</v>
      </c>
      <c r="N23" s="148">
        <v>50.0</v>
      </c>
      <c r="O23" s="217"/>
      <c r="P23" s="218"/>
      <c r="Q23" s="138"/>
      <c r="R23" s="219"/>
      <c r="S23" s="218"/>
      <c r="T23" s="151"/>
      <c r="U23" s="153">
        <f t="shared" si="21"/>
        <v>36925</v>
      </c>
      <c r="V23" s="154">
        <f>IFS(AND(B23&gt;=DATE(2025,1,1), B23&lt;=DATE(2025,1,31)), U23/DDashboard!$C$2, AND(B23&gt;=DATE(2025,2,1), B23&lt;=DATE(2025,2,28)), U23/DDashboard!$C$3, AND(B23&gt;=DATE(2025,3,1), B23&lt;=DATE(2025,3,31)), U23/DDashboard!$C$4, AND(B23&gt;=DATE(2025,4,1), B23&lt;=DATE(2025,4,30)), U23/DDashboard!$C$5,AND(B23&gt;=DATE(2025,5,1), B23&lt;=DATE(2025,5,31)), U23/DDashboard!$C$6,AND(B23&gt;=DATE(2025,6,1), B23&lt;=DATE(2025,6,30)), U23/DDashboard!$C$7,AND(B23&gt;=DATE(2025,7,1), B23&lt;=DATE(2025,7,31)), U23/DDashboard!$C$8,AND(B23&gt;=DATE(2025,8,1), B23&lt;=DATE(2025,8,31)), U23/DDashboard!$C$9,AND(B23&gt;=DATE(2025,9,1), B23&lt;=DATE(2025,9,30)), U23/DDashboard!$C$10,AND(B23&gt;=DATE(2025,10,1), B23&lt;=DATE(2025,10,31)), U23/DDashboard!$C$11,AND(B23&gt;=DATE(2025,11,1), B23&lt;=DATE(2025,11,30)), U23/DDashboard!$C$12, AND(B23&gt;=DATE(2025,12,1), B23&lt;=DATE(2025,12,31)), U23/DDashboard!$C$13, True, "")
</f>
        <v>0.036925</v>
      </c>
      <c r="W23" s="65">
        <f t="shared" si="3"/>
        <v>0.0182802979</v>
      </c>
      <c r="X23" s="250">
        <v>729.0</v>
      </c>
      <c r="Y23" s="251">
        <v>50.0</v>
      </c>
      <c r="Z23" s="157">
        <v>45859.0</v>
      </c>
      <c r="AA23" s="155"/>
      <c r="AB23" s="156"/>
      <c r="AC23" s="182"/>
      <c r="AD23" s="159"/>
      <c r="AE23" s="156"/>
      <c r="AF23" s="158"/>
      <c r="AG23" s="220" t="str">
        <f t="shared" si="4"/>
        <v/>
      </c>
      <c r="AH23" s="150">
        <f t="shared" si="5"/>
        <v>50</v>
      </c>
      <c r="AI23" s="161">
        <f t="shared" si="17"/>
        <v>729</v>
      </c>
      <c r="AJ23" s="100">
        <f t="shared" si="7"/>
        <v>-0.01286391334</v>
      </c>
      <c r="AK23" s="162">
        <f t="shared" si="18"/>
        <v>0</v>
      </c>
      <c r="AL23" s="161">
        <f t="shared" ref="AL23:AL208" si="22">IFERROR(AJ23/W23, "")</f>
        <v>-0.7037037037</v>
      </c>
      <c r="AM23" s="163">
        <f t="shared" si="20"/>
        <v>0</v>
      </c>
      <c r="AN23" s="164" t="str">
        <f t="shared" si="11"/>
        <v>Closed</v>
      </c>
      <c r="AO23" s="165">
        <f t="shared" si="12"/>
        <v>45859</v>
      </c>
      <c r="AP23" s="166">
        <f t="shared" si="13"/>
        <v>36450</v>
      </c>
      <c r="AQ23" s="167">
        <f t="shared" si="19"/>
        <v>-475</v>
      </c>
      <c r="AR23" s="325">
        <f>IFS(AND(B23&gt;=DATE(2025,1,1), B23&lt;=DATE(2025,1,31)), AQ23/DDashboard!$C$2, AND(B23&gt;=DATE(2025,2,1), B23&lt;=DATE(2025,2,28)), AQ23/DDashboard!$C$3, AND(B23&gt;=DATE(2025,3,1), B23&lt;=DATE(2025,3,31)), AQ23/DDashboard!$C$4, AND(B23&gt;=DATE(2025,4,1), B23&lt;=DATE(2025,4,30)), AQ23/DDashboard!$C$5,AND(B23&gt;=DATE(2025,5,1), B23&lt;=DATE(2025,5,31)), AQ23/DDashboard!$C$6,AND(B23&gt;=DATE(2025,6,1), B23&lt;=DATE(2025,6,30)), AQ23/DDashboard!$C$7,AND(B23&gt;=DATE(2025,7,1), B23&lt;=DATE(2025,7,31)), AQ23/DDashboard!$C$8,AND(B23&gt;=DATE(2025,8,1), B23&lt;=DATE(2025,8,31)), AQ23/DDashboard!$C$9,AND(B23&gt;=DATE(2025,9,1), B23&lt;=DATE(2025,9,30)), AQ23/DDashboard!$C$10,AND(B23&gt;=DATE(2025,10,1), B23&lt;=DATE(2025,10,31)), AQ23/DDashboard!$C$11,AND(B23&gt;=DATE(2025,11,1), B23&lt;=DATE(2025,11,30)), AQ23/DDashboard!$C$12, AND(B23&gt;=DATE(2025,12,1), B23&lt;=DATE(2025,12,31)), AQ23/DDashboard!$C$13, True, "")
</f>
        <v>-0.000475</v>
      </c>
      <c r="AS23" s="66">
        <f t="array" ref="AS23">IF(ISBLANK(C23), "", SUM($AR$8:AR23)
)</f>
        <v>-0.14129722</v>
      </c>
      <c r="AT23" s="169" t="b">
        <v>0</v>
      </c>
      <c r="AU23" s="169" t="s">
        <v>7</v>
      </c>
      <c r="AV23" s="169"/>
      <c r="AW23" s="169" t="s">
        <v>82</v>
      </c>
      <c r="AX23" s="170"/>
    </row>
    <row r="24">
      <c r="A24" s="264">
        <v>23.0</v>
      </c>
      <c r="B24" s="34">
        <v>45860.0</v>
      </c>
      <c r="C24" s="352" t="s">
        <v>67</v>
      </c>
      <c r="D24" s="353"/>
      <c r="E24" s="37"/>
      <c r="F24" s="38">
        <v>715.0</v>
      </c>
      <c r="G24" s="39">
        <f t="shared" si="1"/>
        <v>715</v>
      </c>
      <c r="H24" s="40">
        <v>697.0</v>
      </c>
      <c r="I24" s="37"/>
      <c r="J24" s="41" t="s">
        <v>48</v>
      </c>
      <c r="K24" s="332">
        <f>IFERROR(__xludf.DUMMYFUNCTION("IF(ISBLANK(C24), """", GOOGLEFINANCE(""NSE:"" &amp; C24,""price""))"),594.0)</f>
        <v>594</v>
      </c>
      <c r="L24" s="43" t="s">
        <v>81</v>
      </c>
      <c r="M24" s="44" t="s">
        <v>72</v>
      </c>
      <c r="N24" s="45">
        <v>100.0</v>
      </c>
      <c r="O24" s="46"/>
      <c r="P24" s="47"/>
      <c r="Q24" s="354"/>
      <c r="R24" s="49"/>
      <c r="S24" s="47"/>
      <c r="T24" s="48"/>
      <c r="U24" s="50">
        <f t="shared" si="21"/>
        <v>71500</v>
      </c>
      <c r="V24" s="51">
        <f>IFS(AND(B24&gt;=DATE(2025,1,1), B24&lt;=DATE(2025,1,31)), U24/DDashboard!$C$2, AND(B24&gt;=DATE(2025,2,1), B24&lt;=DATE(2025,2,28)), U24/DDashboard!$C$3, AND(B24&gt;=DATE(2025,3,1), B24&lt;=DATE(2025,3,31)), U24/DDashboard!$C$4, AND(B24&gt;=DATE(2025,4,1), B24&lt;=DATE(2025,4,30)), U24/DDashboard!$C$5,AND(B24&gt;=DATE(2025,5,1), B24&lt;=DATE(2025,5,31)), U24/DDashboard!$C$6,AND(B24&gt;=DATE(2025,6,1), B24&lt;=DATE(2025,6,30)), U24/DDashboard!$C$7,AND(B24&gt;=DATE(2025,7,1), B24&lt;=DATE(2025,7,31)), U24/DDashboard!$C$8,AND(B24&gt;=DATE(2025,8,1), B24&lt;=DATE(2025,8,31)), U24/DDashboard!$C$9,AND(B24&gt;=DATE(2025,9,1), B24&lt;=DATE(2025,9,30)), U24/DDashboard!$C$10,AND(B24&gt;=DATE(2025,10,1), B24&lt;=DATE(2025,10,31)), U24/DDashboard!$C$11,AND(B24&gt;=DATE(2025,11,1), B24&lt;=DATE(2025,11,30)), U24/DDashboard!$C$12, AND(B24&gt;=DATE(2025,12,1), B24&lt;=DATE(2025,12,31)), U24/DDashboard!$C$13, True, "")
</f>
        <v>0.0715</v>
      </c>
      <c r="W24" s="52">
        <f t="shared" si="3"/>
        <v>0.02517482517</v>
      </c>
      <c r="X24" s="313">
        <v>720.0</v>
      </c>
      <c r="Y24" s="314">
        <v>100.0</v>
      </c>
      <c r="Z24" s="221">
        <v>45861.0</v>
      </c>
      <c r="AA24" s="49"/>
      <c r="AB24" s="47"/>
      <c r="AC24" s="355"/>
      <c r="AD24" s="46"/>
      <c r="AE24" s="47"/>
      <c r="AF24" s="55"/>
      <c r="AG24" s="356" t="str">
        <f t="shared" si="4"/>
        <v/>
      </c>
      <c r="AH24" s="57">
        <f t="shared" si="5"/>
        <v>100</v>
      </c>
      <c r="AI24" s="224">
        <f t="shared" si="17"/>
        <v>720</v>
      </c>
      <c r="AJ24" s="59">
        <f t="shared" si="7"/>
        <v>0.006993006993</v>
      </c>
      <c r="AK24" s="60">
        <f t="shared" si="18"/>
        <v>0</v>
      </c>
      <c r="AL24" s="58">
        <f t="shared" si="22"/>
        <v>0.2777777778</v>
      </c>
      <c r="AM24" s="61">
        <f t="shared" si="20"/>
        <v>1</v>
      </c>
      <c r="AN24" s="164" t="str">
        <f t="shared" si="11"/>
        <v>Closed</v>
      </c>
      <c r="AO24" s="63">
        <f t="shared" si="12"/>
        <v>45861</v>
      </c>
      <c r="AP24" s="64">
        <f t="shared" si="13"/>
        <v>72000</v>
      </c>
      <c r="AQ24" s="57">
        <f t="shared" si="19"/>
        <v>500</v>
      </c>
      <c r="AR24" s="342">
        <f>IFS(AND(B24&gt;=DATE(2025,1,1), B24&lt;=DATE(2025,1,31)), AQ24/DDashboard!$C$2, AND(B24&gt;=DATE(2025,2,1), B24&lt;=DATE(2025,2,28)), AQ24/DDashboard!$C$3, AND(B24&gt;=DATE(2025,3,1), B24&lt;=DATE(2025,3,31)), AQ24/DDashboard!$C$4, AND(B24&gt;=DATE(2025,4,1), B24&lt;=DATE(2025,4,30)), AQ24/DDashboard!$C$5,AND(B24&gt;=DATE(2025,5,1), B24&lt;=DATE(2025,5,31)), AQ24/DDashboard!$C$6,AND(B24&gt;=DATE(2025,6,1), B24&lt;=DATE(2025,6,30)), AQ24/DDashboard!$C$7,AND(B24&gt;=DATE(2025,7,1), B24&lt;=DATE(2025,7,31)), AQ24/DDashboard!$C$8,AND(B24&gt;=DATE(2025,8,1), B24&lt;=DATE(2025,8,31)), AQ24/DDashboard!$C$9,AND(B24&gt;=DATE(2025,9,1), B24&lt;=DATE(2025,9,30)), AQ24/DDashboard!$C$10,AND(B24&gt;=DATE(2025,10,1), B24&lt;=DATE(2025,10,31)), AQ24/DDashboard!$C$11,AND(B24&gt;=DATE(2025,11,1), B24&lt;=DATE(2025,11,30)), AQ24/DDashboard!$C$12, AND(B24&gt;=DATE(2025,12,1), B24&lt;=DATE(2025,12,31)), AQ24/DDashboard!$C$13, True, "")
</f>
        <v>0.0005</v>
      </c>
      <c r="AS24" s="51">
        <f t="array" ref="AS24">IF(ISBLANK(C24), "", SUM($AR$8:AR24)
)</f>
        <v>-0.14079722</v>
      </c>
      <c r="AT24" s="68" t="b">
        <v>0</v>
      </c>
      <c r="AU24" s="68" t="s">
        <v>93</v>
      </c>
      <c r="AV24" s="172"/>
      <c r="AW24" s="67" t="s">
        <v>82</v>
      </c>
      <c r="AX24" s="36"/>
    </row>
    <row r="25">
      <c r="A25" s="357">
        <v>24.0</v>
      </c>
      <c r="B25" s="232">
        <v>45861.0</v>
      </c>
      <c r="C25" s="139" t="s">
        <v>100</v>
      </c>
      <c r="D25" s="139"/>
      <c r="E25" s="141"/>
      <c r="F25" s="142">
        <v>6560.0</v>
      </c>
      <c r="G25" s="143">
        <f t="shared" si="1"/>
        <v>6560</v>
      </c>
      <c r="H25" s="144">
        <v>6530.0</v>
      </c>
      <c r="I25" s="144"/>
      <c r="J25" s="141" t="s">
        <v>48</v>
      </c>
      <c r="K25" s="145">
        <f>IFERROR(__xludf.DUMMYFUNCTION("IF(ISBLANK(C25), """", GOOGLEFINANCE(""NSE:"" &amp; C25,""price""))"),5921.0)</f>
        <v>5921</v>
      </c>
      <c r="L25" s="146" t="s">
        <v>92</v>
      </c>
      <c r="M25" s="147"/>
      <c r="N25" s="148">
        <v>10.0</v>
      </c>
      <c r="O25" s="149"/>
      <c r="P25" s="150"/>
      <c r="Q25" s="151"/>
      <c r="R25" s="152"/>
      <c r="S25" s="150"/>
      <c r="T25" s="151"/>
      <c r="U25" s="153">
        <f t="shared" si="21"/>
        <v>65600</v>
      </c>
      <c r="V25" s="154">
        <f>IFS(AND(B25&gt;=DATE(2025,1,1), B25&lt;=DATE(2025,1,31)), U25/DDashboard!$C$2, AND(B25&gt;=DATE(2025,2,1), B25&lt;=DATE(2025,2,28)), U25/DDashboard!$C$3, AND(B25&gt;=DATE(2025,3,1), B25&lt;=DATE(2025,3,31)), U25/DDashboard!$C$4, AND(B25&gt;=DATE(2025,4,1), B25&lt;=DATE(2025,4,30)), U25/DDashboard!$C$5,AND(B25&gt;=DATE(2025,5,1), B25&lt;=DATE(2025,5,31)), U25/DDashboard!$C$6,AND(B25&gt;=DATE(2025,6,1), B25&lt;=DATE(2025,6,30)), U25/DDashboard!$C$7,AND(B25&gt;=DATE(2025,7,1), B25&lt;=DATE(2025,7,31)), U25/DDashboard!$C$8,AND(B25&gt;=DATE(2025,8,1), B25&lt;=DATE(2025,8,31)), U25/DDashboard!$C$9,AND(B25&gt;=DATE(2025,9,1), B25&lt;=DATE(2025,9,30)), U25/DDashboard!$C$10,AND(B25&gt;=DATE(2025,10,1), B25&lt;=DATE(2025,10,31)), U25/DDashboard!$C$11,AND(B25&gt;=DATE(2025,11,1), B25&lt;=DATE(2025,11,30)), U25/DDashboard!$C$12, AND(B25&gt;=DATE(2025,12,1), B25&lt;=DATE(2025,12,31)), U25/DDashboard!$C$13, True, "")
</f>
        <v>0.0656</v>
      </c>
      <c r="W25" s="65">
        <f t="shared" si="3"/>
        <v>0.004573170732</v>
      </c>
      <c r="X25" s="90">
        <v>6605.0</v>
      </c>
      <c r="Y25" s="91">
        <v>10.0</v>
      </c>
      <c r="Z25" s="157">
        <v>45861.0</v>
      </c>
      <c r="AA25" s="155"/>
      <c r="AB25" s="156"/>
      <c r="AC25" s="158"/>
      <c r="AD25" s="358"/>
      <c r="AE25" s="359"/>
      <c r="AF25" s="360"/>
      <c r="AG25" s="160" t="str">
        <f t="shared" si="4"/>
        <v/>
      </c>
      <c r="AH25" s="150">
        <f t="shared" si="5"/>
        <v>10</v>
      </c>
      <c r="AI25" s="161">
        <f t="shared" si="17"/>
        <v>6605</v>
      </c>
      <c r="AJ25" s="100">
        <f t="shared" si="7"/>
        <v>0.006859756098</v>
      </c>
      <c r="AK25" s="162">
        <f t="shared" si="18"/>
        <v>0</v>
      </c>
      <c r="AL25" s="161">
        <f t="shared" si="22"/>
        <v>1.5</v>
      </c>
      <c r="AM25" s="163">
        <f>IF(AN25="", "", IF(AN25="Closed", IF(ISNUMBER(AF25), AF25-B25,IF(ISNUMBER(AC25), AC25-B25,IF(ISNUMBER(Z25), Z25-B25, ""))), TODAY()-B25))
</f>
        <v>0</v>
      </c>
      <c r="AN25" s="62" t="str">
        <f t="shared" si="11"/>
        <v>Closed</v>
      </c>
      <c r="AO25" s="165">
        <f t="shared" si="12"/>
        <v>45861</v>
      </c>
      <c r="AP25" s="166">
        <f t="shared" si="13"/>
        <v>66050</v>
      </c>
      <c r="AQ25" s="167">
        <f t="shared" si="19"/>
        <v>450</v>
      </c>
      <c r="AR25" s="168">
        <f>IFS(AND(B25&gt;=DATE(2025,1,1), B25&lt;=DATE(2025,1,31)), AQ25/DDashboard!$C$2, AND(B25&gt;=DATE(2025,2,1), B25&lt;=DATE(2025,2,28)), AQ25/DDashboard!$C$3, AND(B25&gt;=DATE(2025,3,1), B25&lt;=DATE(2025,3,31)), AQ25/DDashboard!$C$4, AND(B25&gt;=DATE(2025,4,1), B25&lt;=DATE(2025,4,30)), AQ25/DDashboard!$C$5,AND(B25&gt;=DATE(2025,5,1), B25&lt;=DATE(2025,5,31)), AQ25/DDashboard!$C$6,AND(B25&gt;=DATE(2025,6,1), B25&lt;=DATE(2025,6,30)), AQ25/DDashboard!$C$7,AND(B25&gt;=DATE(2025,7,1), B25&lt;=DATE(2025,7,31)), AQ25/DDashboard!$C$8,AND(B25&gt;=DATE(2025,8,1), B25&lt;=DATE(2025,8,31)), AQ25/DDashboard!$C$9,AND(B25&gt;=DATE(2025,9,1), B25&lt;=DATE(2025,9,30)), AQ25/DDashboard!$C$10,AND(B25&gt;=DATE(2025,10,1), B25&lt;=DATE(2025,10,31)), AQ25/DDashboard!$C$11,AND(B25&gt;=DATE(2025,11,1), B25&lt;=DATE(2025,11,30)), AQ25/DDashboard!$C$12, AND(B25&gt;=DATE(2025,12,1), B25&lt;=DATE(2025,12,31)), AQ25/DDashboard!$C$13, True, "")
</f>
        <v>0.00045</v>
      </c>
      <c r="AS25" s="200">
        <f t="array" ref="AS25">IF(ISBLANK(C25), "", SUM($AR$9:AR25)
)</f>
        <v>-0.14214722</v>
      </c>
      <c r="AT25" s="169" t="b">
        <v>1</v>
      </c>
      <c r="AU25" s="169" t="s">
        <v>101</v>
      </c>
      <c r="AV25" s="169" t="s">
        <v>99</v>
      </c>
      <c r="AW25" s="169"/>
      <c r="AX25" s="183"/>
    </row>
    <row r="26">
      <c r="A26" s="361">
        <v>25.0</v>
      </c>
      <c r="B26" s="34">
        <v>45861.0</v>
      </c>
      <c r="C26" s="185" t="s">
        <v>102</v>
      </c>
      <c r="D26" s="185"/>
      <c r="E26" s="187"/>
      <c r="F26" s="188">
        <v>510.0</v>
      </c>
      <c r="G26" s="189">
        <f t="shared" si="1"/>
        <v>510</v>
      </c>
      <c r="H26" s="190">
        <v>515.0</v>
      </c>
      <c r="I26" s="190"/>
      <c r="J26" s="187" t="s">
        <v>103</v>
      </c>
      <c r="K26" s="145">
        <f>IFERROR(__xludf.DUMMYFUNCTION("IF(ISBLANK(C26), """", GOOGLEFINANCE(""NSE:"" &amp; C26,""price""))"),485.8)</f>
        <v>485.8</v>
      </c>
      <c r="L26" s="213" t="s">
        <v>92</v>
      </c>
      <c r="M26" s="193"/>
      <c r="N26" s="194">
        <v>50.0</v>
      </c>
      <c r="O26" s="195"/>
      <c r="P26" s="196"/>
      <c r="Q26" s="197"/>
      <c r="R26" s="198"/>
      <c r="S26" s="196"/>
      <c r="T26" s="197"/>
      <c r="U26" s="199">
        <f t="shared" si="21"/>
        <v>25500</v>
      </c>
      <c r="V26" s="200">
        <f>IFS(AND(B26&gt;=DATE(2025,1,1), B26&lt;=DATE(2025,1,31)), U26/DDashboard!$C$2, AND(B26&gt;=DATE(2025,2,1), B26&lt;=DATE(2025,2,28)), U26/DDashboard!$C$3, AND(B26&gt;=DATE(2025,3,1), B26&lt;=DATE(2025,3,31)), U26/DDashboard!$C$4, AND(B26&gt;=DATE(2025,4,1), B26&lt;=DATE(2025,4,30)), U26/DDashboard!$C$5,AND(B26&gt;=DATE(2025,5,1), B26&lt;=DATE(2025,5,31)), U26/DDashboard!$C$6,AND(B26&gt;=DATE(2025,6,1), B26&lt;=DATE(2025,6,30)), U26/DDashboard!$C$7,AND(B26&gt;=DATE(2025,7,1), B26&lt;=DATE(2025,7,31)), U26/DDashboard!$C$8,AND(B26&gt;=DATE(2025,8,1), B26&lt;=DATE(2025,8,31)), U26/DDashboard!$C$9,AND(B26&gt;=DATE(2025,9,1), B26&lt;=DATE(2025,9,30)), U26/DDashboard!$C$10,AND(B26&gt;=DATE(2025,10,1), B26&lt;=DATE(2025,10,31)), U26/DDashboard!$C$11,AND(B26&gt;=DATE(2025,11,1), B26&lt;=DATE(2025,11,30)), U26/DDashboard!$C$12, AND(B26&gt;=DATE(2025,12,1), B26&lt;=DATE(2025,12,31)), U26/DDashboard!$C$13, True, "")
</f>
        <v>0.0255</v>
      </c>
      <c r="W26" s="201">
        <f t="shared" si="3"/>
        <v>0.009803921569</v>
      </c>
      <c r="X26" s="313">
        <v>502.0</v>
      </c>
      <c r="Y26" s="314">
        <v>50.0</v>
      </c>
      <c r="Z26" s="221">
        <v>45861.0</v>
      </c>
      <c r="AA26" s="343"/>
      <c r="AB26" s="337"/>
      <c r="AC26" s="346"/>
      <c r="AD26" s="362"/>
      <c r="AE26" s="363"/>
      <c r="AF26" s="364"/>
      <c r="AG26" s="64" t="str">
        <f t="shared" si="4"/>
        <v/>
      </c>
      <c r="AH26" s="230">
        <f t="shared" si="5"/>
        <v>50</v>
      </c>
      <c r="AI26" s="224">
        <f t="shared" si="17"/>
        <v>502</v>
      </c>
      <c r="AJ26" s="59">
        <f t="shared" si="7"/>
        <v>0.01568627451</v>
      </c>
      <c r="AK26" s="347">
        <f t="shared" si="18"/>
        <v>0</v>
      </c>
      <c r="AL26" s="224">
        <f t="shared" si="22"/>
        <v>1.6</v>
      </c>
      <c r="AM26" s="348">
        <f>IF(AN26="", "", IF(AN26="Closed", 
    IF(ISNUMBER(AF26), AF26-B26,
        IF(ISNUMBER(AC26), AC26-B26,
            IF(ISNUMBER(Z26), Z26-B26, "")
        )
    ), 
    TODAY()-B26))</f>
        <v>0</v>
      </c>
      <c r="AN26" s="62" t="str">
        <f t="shared" si="11"/>
        <v>Closed</v>
      </c>
      <c r="AO26" s="165">
        <f t="shared" si="12"/>
        <v>45861</v>
      </c>
      <c r="AP26" s="210">
        <f t="shared" si="13"/>
        <v>25100</v>
      </c>
      <c r="AQ26" s="196">
        <f t="shared" si="19"/>
        <v>400</v>
      </c>
      <c r="AR26" s="168">
        <f>IFS(AND(B26&gt;=DATE(2025,1,1), B26&lt;=DATE(2025,1,31)), AQ26/DDashboard!$C$2, AND(B26&gt;=DATE(2025,2,1), B26&lt;=DATE(2025,2,28)), AQ26/DDashboard!$C$3, AND(B26&gt;=DATE(2025,3,1), B26&lt;=DATE(2025,3,31)), AQ26/DDashboard!$C$4, AND(B26&gt;=DATE(2025,4,1), B26&lt;=DATE(2025,4,30)), AQ26/DDashboard!$C$5,AND(B26&gt;=DATE(2025,5,1), B26&lt;=DATE(2025,5,31)), AQ26/DDashboard!$C$6,AND(B26&gt;=DATE(2025,6,1), B26&lt;=DATE(2025,6,30)), AQ26/DDashboard!$C$7,AND(B26&gt;=DATE(2025,7,1), B26&lt;=DATE(2025,7,31)), AQ26/DDashboard!$C$8,AND(B26&gt;=DATE(2025,8,1), B26&lt;=DATE(2025,8,31)), AQ26/DDashboard!$C$9,AND(B26&gt;=DATE(2025,9,1), B26&lt;=DATE(2025,9,30)), AQ26/DDashboard!$C$10,AND(B26&gt;=DATE(2025,10,1), B26&lt;=DATE(2025,10,31)), AQ26/DDashboard!$C$11,AND(B26&gt;=DATE(2025,11,1), B26&lt;=DATE(2025,11,30)), AQ26/DDashboard!$C$12, AND(B26&gt;=DATE(2025,12,1), B26&lt;=DATE(2025,12,31)), AQ26/DDashboard!$C$13, True, "")
</f>
        <v>0.0004</v>
      </c>
      <c r="AS26" s="200">
        <f t="array" ref="AS26">IF(ISBLANK(C26), "", SUM($AR$9:AR26)
)</f>
        <v>-0.14174722</v>
      </c>
      <c r="AT26" s="169" t="b">
        <v>1</v>
      </c>
      <c r="AU26" s="169" t="s">
        <v>104</v>
      </c>
      <c r="AV26" s="169"/>
      <c r="AW26" s="169"/>
      <c r="AX26" s="32"/>
    </row>
    <row r="27">
      <c r="A27" s="357">
        <v>26.0</v>
      </c>
      <c r="B27" s="232">
        <v>45862.0</v>
      </c>
      <c r="C27" s="139" t="s">
        <v>105</v>
      </c>
      <c r="D27" s="139"/>
      <c r="E27" s="141"/>
      <c r="F27" s="142">
        <v>1097.5</v>
      </c>
      <c r="G27" s="143">
        <f t="shared" si="1"/>
        <v>1097.5</v>
      </c>
      <c r="H27" s="144">
        <v>1090.0</v>
      </c>
      <c r="I27" s="144"/>
      <c r="J27" s="141" t="s">
        <v>48</v>
      </c>
      <c r="K27" s="145">
        <f>IFERROR(__xludf.DUMMYFUNCTION("IF(ISBLANK(C27), """", GOOGLEFINANCE(""NSE:"" &amp; C27,""price""))"),1166.25)</f>
        <v>1166.25</v>
      </c>
      <c r="L27" s="146" t="s">
        <v>84</v>
      </c>
      <c r="M27" s="147" t="s">
        <v>85</v>
      </c>
      <c r="N27" s="148">
        <v>50.0</v>
      </c>
      <c r="O27" s="149"/>
      <c r="P27" s="150"/>
      <c r="Q27" s="151"/>
      <c r="R27" s="152"/>
      <c r="S27" s="150"/>
      <c r="T27" s="151"/>
      <c r="U27" s="153">
        <f t="shared" si="21"/>
        <v>54875</v>
      </c>
      <c r="V27" s="154">
        <f>IFS(AND(B27&gt;=DATE(2025,1,1), B27&lt;=DATE(2025,1,31)), U27/DDashboard!$C$2, AND(B27&gt;=DATE(2025,2,1), B27&lt;=DATE(2025,2,28)), U27/DDashboard!$C$3, AND(B27&gt;=DATE(2025,3,1), B27&lt;=DATE(2025,3,31)), U27/DDashboard!$C$4, AND(B27&gt;=DATE(2025,4,1), B27&lt;=DATE(2025,4,30)), U27/DDashboard!$C$5,AND(B27&gt;=DATE(2025,5,1), B27&lt;=DATE(2025,5,31)), U27/DDashboard!$C$6,AND(B27&gt;=DATE(2025,6,1), B27&lt;=DATE(2025,6,30)), U27/DDashboard!$C$7,AND(B27&gt;=DATE(2025,7,1), B27&lt;=DATE(2025,7,31)), U27/DDashboard!$C$8,AND(B27&gt;=DATE(2025,8,1), B27&lt;=DATE(2025,8,31)), U27/DDashboard!$C$9,AND(B27&gt;=DATE(2025,9,1), B27&lt;=DATE(2025,9,30)), U27/DDashboard!$C$10,AND(B27&gt;=DATE(2025,10,1), B27&lt;=DATE(2025,10,31)), U27/DDashboard!$C$11,AND(B27&gt;=DATE(2025,11,1), B27&lt;=DATE(2025,11,30)), U27/DDashboard!$C$12, AND(B27&gt;=DATE(2025,12,1), B27&lt;=DATE(2025,12,31)), U27/DDashboard!$C$13, True, "")
</f>
        <v>0.054875</v>
      </c>
      <c r="W27" s="65">
        <f t="shared" si="3"/>
        <v>0.006833712984</v>
      </c>
      <c r="X27" s="155">
        <v>1106.7</v>
      </c>
      <c r="Y27" s="156">
        <v>50.0</v>
      </c>
      <c r="Z27" s="157">
        <v>45862.0</v>
      </c>
      <c r="AA27" s="155"/>
      <c r="AB27" s="156"/>
      <c r="AC27" s="158"/>
      <c r="AD27" s="358"/>
      <c r="AE27" s="359"/>
      <c r="AF27" s="360"/>
      <c r="AG27" s="220" t="str">
        <f t="shared" si="4"/>
        <v/>
      </c>
      <c r="AH27" s="150">
        <f t="shared" si="5"/>
        <v>50</v>
      </c>
      <c r="AI27" s="161">
        <f t="shared" si="17"/>
        <v>1106.7</v>
      </c>
      <c r="AJ27" s="365">
        <f t="shared" si="7"/>
        <v>0.008382687927</v>
      </c>
      <c r="AK27" s="162">
        <f t="shared" si="18"/>
        <v>0</v>
      </c>
      <c r="AL27" s="161">
        <f t="shared" si="22"/>
        <v>1.226666667</v>
      </c>
      <c r="AM27" s="163">
        <f>IF(AN27="", "", IF(AN27="Closed", IF(ISNUMBER(AF27), AF27-B27,IF(ISNUMBER(AC27), AC27-B27,IF(ISNUMBER(Z27), Z27-B27, ""))), TODAY()-B27))
</f>
        <v>0</v>
      </c>
      <c r="AN27" s="62" t="str">
        <f t="shared" si="11"/>
        <v>Closed</v>
      </c>
      <c r="AO27" s="366">
        <f t="shared" si="12"/>
        <v>45862</v>
      </c>
      <c r="AP27" s="166">
        <f t="shared" si="13"/>
        <v>55335</v>
      </c>
      <c r="AQ27" s="167">
        <f t="shared" si="19"/>
        <v>460</v>
      </c>
      <c r="AR27" s="168">
        <f>IFS(AND(B27&gt;=DATE(2025,1,1), B27&lt;=DATE(2025,1,31)), AQ27/DDashboard!$C$2, AND(B27&gt;=DATE(2025,2,1), B27&lt;=DATE(2025,2,28)), AQ27/DDashboard!$C$3, AND(B27&gt;=DATE(2025,3,1), B27&lt;=DATE(2025,3,31)), AQ27/DDashboard!$C$4, AND(B27&gt;=DATE(2025,4,1), B27&lt;=DATE(2025,4,30)), AQ27/DDashboard!$C$5,AND(B27&gt;=DATE(2025,5,1), B27&lt;=DATE(2025,5,31)), AQ27/DDashboard!$C$6,AND(B27&gt;=DATE(2025,6,1), B27&lt;=DATE(2025,6,30)), AQ27/DDashboard!$C$7,AND(B27&gt;=DATE(2025,7,1), B27&lt;=DATE(2025,7,31)), AQ27/DDashboard!$C$8,AND(B27&gt;=DATE(2025,8,1), B27&lt;=DATE(2025,8,31)), AQ27/DDashboard!$C$9,AND(B27&gt;=DATE(2025,9,1), B27&lt;=DATE(2025,9,30)), AQ27/DDashboard!$C$10,AND(B27&gt;=DATE(2025,10,1), B27&lt;=DATE(2025,10,31)), AQ27/DDashboard!$C$11,AND(B27&gt;=DATE(2025,11,1), B27&lt;=DATE(2025,11,30)), AQ27/DDashboard!$C$12, AND(B27&gt;=DATE(2025,12,1), B27&lt;=DATE(2025,12,31)), AQ27/DDashboard!$C$13, True, "")
</f>
        <v>0.00046</v>
      </c>
      <c r="AS27" s="200">
        <f t="array" ref="AS27">IF(ISBLANK(C27), "", SUM($AR$9:AR27)
)</f>
        <v>-0.14128722</v>
      </c>
      <c r="AT27" s="169" t="b">
        <v>0</v>
      </c>
      <c r="AU27" s="169" t="s">
        <v>104</v>
      </c>
      <c r="AV27" s="169"/>
      <c r="AW27" s="169"/>
      <c r="AX27" s="183"/>
    </row>
    <row r="28">
      <c r="A28" s="361">
        <v>27.0</v>
      </c>
      <c r="B28" s="34">
        <v>45862.0</v>
      </c>
      <c r="C28" s="185" t="s">
        <v>106</v>
      </c>
      <c r="D28" s="185"/>
      <c r="E28" s="187"/>
      <c r="F28" s="188">
        <v>952.0</v>
      </c>
      <c r="G28" s="189">
        <f t="shared" si="1"/>
        <v>952</v>
      </c>
      <c r="H28" s="190">
        <v>946.0</v>
      </c>
      <c r="I28" s="190"/>
      <c r="J28" s="187" t="s">
        <v>48</v>
      </c>
      <c r="K28" s="145">
        <f>IFERROR(__xludf.DUMMYFUNCTION("IF(ISBLANK(C28), """", GOOGLEFINANCE(""NSE:"" &amp; C28,""price""))"),821.0)</f>
        <v>821</v>
      </c>
      <c r="L28" s="213" t="s">
        <v>92</v>
      </c>
      <c r="M28" s="193"/>
      <c r="N28" s="194">
        <v>50.0</v>
      </c>
      <c r="O28" s="205"/>
      <c r="P28" s="228"/>
      <c r="Q28" s="34"/>
      <c r="R28" s="198"/>
      <c r="S28" s="196"/>
      <c r="T28" s="197"/>
      <c r="U28" s="199">
        <f t="shared" si="21"/>
        <v>47600</v>
      </c>
      <c r="V28" s="200">
        <f>IFS(AND(B28&gt;=DATE(2025,1,1), B28&lt;=DATE(2025,1,31)), U28/DDashboard!$C$2, AND(B28&gt;=DATE(2025,2,1), B28&lt;=DATE(2025,2,28)), U28/DDashboard!$C$3, AND(B28&gt;=DATE(2025,3,1), B28&lt;=DATE(2025,3,31)), U28/DDashboard!$C$4, AND(B28&gt;=DATE(2025,4,1), B28&lt;=DATE(2025,4,30)), U28/DDashboard!$C$5,AND(B28&gt;=DATE(2025,5,1), B28&lt;=DATE(2025,5,31)), U28/DDashboard!$C$6,AND(B28&gt;=DATE(2025,6,1), B28&lt;=DATE(2025,6,30)), U28/DDashboard!$C$7,AND(B28&gt;=DATE(2025,7,1), B28&lt;=DATE(2025,7,31)), U28/DDashboard!$C$8,AND(B28&gt;=DATE(2025,8,1), B28&lt;=DATE(2025,8,31)), U28/DDashboard!$C$9,AND(B28&gt;=DATE(2025,9,1), B28&lt;=DATE(2025,9,30)), U28/DDashboard!$C$10,AND(B28&gt;=DATE(2025,10,1), B28&lt;=DATE(2025,10,31)), U28/DDashboard!$C$11,AND(B28&gt;=DATE(2025,11,1), B28&lt;=DATE(2025,11,30)), U28/DDashboard!$C$12, AND(B28&gt;=DATE(2025,12,1), B28&lt;=DATE(2025,12,31)), U28/DDashboard!$C$13, True, "")
</f>
        <v>0.0476</v>
      </c>
      <c r="W28" s="201">
        <f t="shared" si="3"/>
        <v>0.006302521008</v>
      </c>
      <c r="X28" s="202">
        <v>946.0</v>
      </c>
      <c r="Y28" s="203">
        <v>50.0</v>
      </c>
      <c r="Z28" s="221">
        <v>45862.0</v>
      </c>
      <c r="AA28" s="202"/>
      <c r="AB28" s="203"/>
      <c r="AC28" s="204"/>
      <c r="AD28" s="195"/>
      <c r="AE28" s="222"/>
      <c r="AF28" s="223"/>
      <c r="AG28" s="136" t="str">
        <f t="shared" si="4"/>
        <v/>
      </c>
      <c r="AH28" s="196">
        <f t="shared" si="5"/>
        <v>50</v>
      </c>
      <c r="AI28" s="207">
        <f t="shared" si="17"/>
        <v>946</v>
      </c>
      <c r="AJ28" s="367">
        <f t="shared" si="7"/>
        <v>-0.006302521008</v>
      </c>
      <c r="AK28" s="208">
        <f t="shared" si="18"/>
        <v>0</v>
      </c>
      <c r="AL28" s="207">
        <f t="shared" si="22"/>
        <v>-1</v>
      </c>
      <c r="AM28" s="209">
        <f>IF(AN28="", "", IF(AN28="Closed", 
    IF(ISNUMBER(AF28), AF28-B28,
        IF(ISNUMBER(AC28), AC28-B28,
            IF(ISNUMBER(Z28), Z28-B28, "")
        )
    ), 
    TODAY()-B28))</f>
        <v>0</v>
      </c>
      <c r="AN28" s="62" t="str">
        <f t="shared" si="11"/>
        <v>Closed</v>
      </c>
      <c r="AO28" s="366">
        <f t="shared" si="12"/>
        <v>45862</v>
      </c>
      <c r="AP28" s="210">
        <f t="shared" si="13"/>
        <v>47300</v>
      </c>
      <c r="AQ28" s="196">
        <f t="shared" si="19"/>
        <v>-300</v>
      </c>
      <c r="AR28" s="168">
        <f>IFS(AND(B28&gt;=DATE(2025,1,1), B28&lt;=DATE(2025,1,31)), AQ28/DDashboard!$C$2, AND(B28&gt;=DATE(2025,2,1), B28&lt;=DATE(2025,2,28)), AQ28/DDashboard!$C$3, AND(B28&gt;=DATE(2025,3,1), B28&lt;=DATE(2025,3,31)), AQ28/DDashboard!$C$4, AND(B28&gt;=DATE(2025,4,1), B28&lt;=DATE(2025,4,30)), AQ28/DDashboard!$C$5,AND(B28&gt;=DATE(2025,5,1), B28&lt;=DATE(2025,5,31)), AQ28/DDashboard!$C$6,AND(B28&gt;=DATE(2025,6,1), B28&lt;=DATE(2025,6,30)), AQ28/DDashboard!$C$7,AND(B28&gt;=DATE(2025,7,1), B28&lt;=DATE(2025,7,31)), AQ28/DDashboard!$C$8,AND(B28&gt;=DATE(2025,8,1), B28&lt;=DATE(2025,8,31)), AQ28/DDashboard!$C$9,AND(B28&gt;=DATE(2025,9,1), B28&lt;=DATE(2025,9,30)), AQ28/DDashboard!$C$10,AND(B28&gt;=DATE(2025,10,1), B28&lt;=DATE(2025,10,31)), AQ28/DDashboard!$C$11,AND(B28&gt;=DATE(2025,11,1), B28&lt;=DATE(2025,11,30)), AQ28/DDashboard!$C$12, AND(B28&gt;=DATE(2025,12,1), B28&lt;=DATE(2025,12,31)), AQ28/DDashboard!$C$13, True, "")
</f>
        <v>-0.0003</v>
      </c>
      <c r="AS28" s="200">
        <f t="array" ref="AS28">IF(ISBLANK(C28), "", SUM($AR$9:AR28)
)</f>
        <v>-0.14158722</v>
      </c>
      <c r="AT28" s="169" t="b">
        <v>0</v>
      </c>
      <c r="AU28" s="169" t="s">
        <v>93</v>
      </c>
      <c r="AV28" s="169"/>
      <c r="AW28" s="169"/>
      <c r="AX28" s="32"/>
    </row>
    <row r="29">
      <c r="A29" s="218">
        <v>28.0</v>
      </c>
      <c r="B29" s="232">
        <v>45862.0</v>
      </c>
      <c r="C29" s="139" t="s">
        <v>107</v>
      </c>
      <c r="D29" s="139"/>
      <c r="E29" s="141"/>
      <c r="F29" s="142">
        <v>1686.0</v>
      </c>
      <c r="G29" s="143">
        <f t="shared" si="1"/>
        <v>1686</v>
      </c>
      <c r="H29" s="144">
        <v>1678.0</v>
      </c>
      <c r="I29" s="144"/>
      <c r="J29" s="141" t="s">
        <v>48</v>
      </c>
      <c r="K29" s="145">
        <f>IFERROR(__xludf.DUMMYFUNCTION("IF(ISBLANK(C29), """", GOOGLEFINANCE(""NSE:"" &amp; C29,""price""))"),1294.4)</f>
        <v>1294.4</v>
      </c>
      <c r="L29" s="146" t="s">
        <v>92</v>
      </c>
      <c r="M29" s="147"/>
      <c r="N29" s="148">
        <v>50.0</v>
      </c>
      <c r="O29" s="225"/>
      <c r="P29" s="226"/>
      <c r="Q29" s="368"/>
      <c r="R29" s="152"/>
      <c r="S29" s="150"/>
      <c r="T29" s="369"/>
      <c r="U29" s="153">
        <f>if(A29*N29&lt;&gt;0, F29*N29+O29*P29+R29*S29, "")</f>
        <v>84300</v>
      </c>
      <c r="V29" s="154">
        <f>IFS(AND(B29&gt;=DATE(2025,1,1), B29&lt;=DATE(2025,1,31)), U29/DDashboard!$C$2, AND(B29&gt;=DATE(2025,2,1), B29&lt;=DATE(2025,2,28)), U29/DDashboard!$C$3, AND(B29&gt;=DATE(2025,3,1), B29&lt;=DATE(2025,3,31)), U29/DDashboard!$C$4, AND(B29&gt;=DATE(2025,4,1), B29&lt;=DATE(2025,4,30)), U29/DDashboard!$C$5,AND(B29&gt;=DATE(2025,5,1), B29&lt;=DATE(2025,5,31)), U29/DDashboard!$C$6,AND(B29&gt;=DATE(2025,6,1), B29&lt;=DATE(2025,6,30)), U29/DDashboard!$C$7,AND(B29&gt;=DATE(2025,7,1), B29&lt;=DATE(2025,7,31)), U29/DDashboard!$C$8,AND(B29&gt;=DATE(2025,8,1), B29&lt;=DATE(2025,8,31)), U29/DDashboard!$C$9,AND(B29&gt;=DATE(2025,9,1), B29&lt;=DATE(2025,9,30)), U29/DDashboard!$C$10,AND(B29&gt;=DATE(2025,10,1), B29&lt;=DATE(2025,10,31)), U29/DDashboard!$C$11,AND(B29&gt;=DATE(2025,11,1), B29&lt;=DATE(2025,11,30)), U29/DDashboard!$C$12, AND(B29&gt;=DATE(2025,12,1), B29&lt;=DATE(2025,12,31)), U29/DDashboard!$C$13, True, "")
</f>
        <v>0.0843</v>
      </c>
      <c r="W29" s="65">
        <f t="shared" si="3"/>
        <v>0.004744958482</v>
      </c>
      <c r="X29" s="155">
        <v>1695.62</v>
      </c>
      <c r="Y29" s="156">
        <v>50.0</v>
      </c>
      <c r="Z29" s="157">
        <v>45862.0</v>
      </c>
      <c r="AA29" s="155"/>
      <c r="AB29" s="156"/>
      <c r="AC29" s="158"/>
      <c r="AD29" s="159"/>
      <c r="AE29" s="359"/>
      <c r="AF29" s="158"/>
      <c r="AG29" s="160" t="str">
        <f t="shared" si="4"/>
        <v/>
      </c>
      <c r="AH29" s="150">
        <f t="shared" si="5"/>
        <v>50</v>
      </c>
      <c r="AI29" s="161">
        <f>IF(ISBLANK(E29), IF(ISBLANK(X29), K29, IFERROR(IF(ISBLANK(C29),X29*Y29+AA29*AB29+AD29*AE29+AG29*K29,X29*Y29+AA29*AB29+AD29*AE29+AG29*A29)/(Y29+AB29+AE29+AG29) , "")),(X29*Y29+AA29*AB29+AD29*AE29+AG29*A29)/(Y29+AB29+AE29+AG29))</f>
        <v>1695.62</v>
      </c>
      <c r="AJ29" s="367">
        <f t="shared" si="7"/>
        <v>0.005705812574</v>
      </c>
      <c r="AK29" s="162">
        <f>IFERROR(IFS(AND(J29="B",ISBLANK(I29)),(A29-H29)*AG29,AND(J29="B",ISNUMBER(I29)),(A29-I29)*AG29,AND(J29="S",ISBLANK(I29)),(H29-A29)*AG29,AND(J29="S",ISNUMBER(I29)),(I29-A29)*AG29),"")</f>
        <v>0</v>
      </c>
      <c r="AL29" s="161">
        <f t="shared" si="22"/>
        <v>1.2025</v>
      </c>
      <c r="AM29" s="163">
        <f>IF(AN29="", "", IF(AN29="Closed", IF(ISNUMBER(AF29), AF29-B29,IF(ISNUMBER(AC29), AC29-B29,IF(ISNUMBER(Z29), Z29-B29, ""))), TODAY()-B29))
</f>
        <v>0</v>
      </c>
      <c r="AN29" s="62" t="str">
        <f t="shared" si="11"/>
        <v>Closed</v>
      </c>
      <c r="AO29" s="366">
        <f t="shared" si="12"/>
        <v>45862</v>
      </c>
      <c r="AP29" s="166">
        <f t="shared" si="13"/>
        <v>84781</v>
      </c>
      <c r="AQ29" s="167">
        <f>IFS(AND(ISBLANK(D29),N29&lt;&gt;"",AN29="Closed",J29="B"),(AH29*AI29)-U29,AND(ISBLANK(D29),N29&lt;&gt;"",AN29&lt;&gt;"Closed",J29="B"),(X29*Y29+AA29*AB29+AD29*AE29+K29*AG29)-U29, AND(ISBLANK(D29),N29&lt;&gt;"",AN29="Closed",J29="S"),U29-(AH29*AI29),AND(ISBLANK(D29),N29&lt;&gt;"",AN29&lt;&gt;"Closed",J29="S"),U29-(X29*Y29+AA29*AB29+AD29*AE29+K29*AG29),AND(D29&lt;&gt;"",N29&lt;&gt;"",AH29&lt;&gt;"",AN29="Closed",J29="B"),(AH29*AI29)-(A29*(AG29+AH29)),AND(D29&lt;&gt;"",N29&lt;&gt;"",AH29&lt;&gt;"",AN29="Closed",J29="S"),(A29*(AG29+AH29))-(AH29*AI29),AND(D29&lt;&gt;"",N29&lt;&gt;"",AN29&lt;&gt;"Closed"),"",ISBLANK(B29),"")</f>
        <v>481</v>
      </c>
      <c r="AR29" s="168">
        <f>IFS(AND(B29&gt;=DATE(2025,1,1), B29&lt;=DATE(2025,1,31)), AQ29/DDashboard!$C$2, AND(B29&gt;=DATE(2025,2,1), B29&lt;=DATE(2025,2,28)), AQ29/DDashboard!$C$3, AND(B29&gt;=DATE(2025,3,1), B29&lt;=DATE(2025,3,31)), AQ29/DDashboard!$C$4, AND(B29&gt;=DATE(2025,4,1), B29&lt;=DATE(2025,4,30)), AQ29/DDashboard!$C$5,AND(B29&gt;=DATE(2025,5,1), B29&lt;=DATE(2025,5,31)), AQ29/DDashboard!$C$6,AND(B29&gt;=DATE(2025,6,1), B29&lt;=DATE(2025,6,30)), AQ29/DDashboard!$C$7,AND(B29&gt;=DATE(2025,7,1), B29&lt;=DATE(2025,7,31)), AQ29/DDashboard!$C$8,AND(B29&gt;=DATE(2025,8,1), B29&lt;=DATE(2025,8,31)), AQ29/DDashboard!$C$9,AND(B29&gt;=DATE(2025,9,1), B29&lt;=DATE(2025,9,30)), AQ29/DDashboard!$C$10,AND(B29&gt;=DATE(2025,10,1), B29&lt;=DATE(2025,10,31)), AQ29/DDashboard!$C$11,AND(B29&gt;=DATE(2025,11,1), B29&lt;=DATE(2025,11,30)), AQ29/DDashboard!$C$12, AND(B29&gt;=DATE(2025,12,1), B29&lt;=DATE(2025,12,31)), AQ29/DDashboard!$C$13, True, "")
</f>
        <v>0.000481</v>
      </c>
      <c r="AS29" s="200">
        <f t="array" ref="AS29">IF(ISBLANK(C29), "", SUM($AR$9:AR29)
)</f>
        <v>-0.14110622</v>
      </c>
      <c r="AT29" s="169" t="b">
        <v>1</v>
      </c>
      <c r="AU29" s="169" t="s">
        <v>101</v>
      </c>
      <c r="AV29" s="169"/>
      <c r="AW29" s="169"/>
      <c r="AX29" s="170"/>
    </row>
    <row r="30">
      <c r="A30" s="361">
        <v>29.0</v>
      </c>
      <c r="B30" s="34">
        <v>45862.0</v>
      </c>
      <c r="C30" s="185" t="s">
        <v>108</v>
      </c>
      <c r="D30" s="185"/>
      <c r="E30" s="187"/>
      <c r="F30" s="188">
        <v>1070.0</v>
      </c>
      <c r="G30" s="189">
        <f t="shared" si="1"/>
        <v>1070</v>
      </c>
      <c r="H30" s="190">
        <v>1065.0</v>
      </c>
      <c r="I30" s="190"/>
      <c r="J30" s="187" t="s">
        <v>48</v>
      </c>
      <c r="K30" s="145">
        <f>IFERROR(__xludf.DUMMYFUNCTION("IF(ISBLANK(C30), """", GOOGLEFINANCE(""NSE:"" &amp; C30,""price""))"),1182.9)</f>
        <v>1182.9</v>
      </c>
      <c r="L30" s="213" t="s">
        <v>92</v>
      </c>
      <c r="M30" s="193"/>
      <c r="N30" s="194">
        <v>50.0</v>
      </c>
      <c r="O30" s="205"/>
      <c r="P30" s="228"/>
      <c r="Q30" s="370"/>
      <c r="R30" s="202"/>
      <c r="S30" s="228"/>
      <c r="T30" s="370"/>
      <c r="U30" s="199">
        <f t="shared" ref="U30:U208" si="23">if(G30*N30&lt;&gt;0, F30*N30+O30*P30+R30*S30, "")</f>
        <v>53500</v>
      </c>
      <c r="V30" s="200">
        <f>IFS(AND(B30&gt;=DATE(2025,1,1), B30&lt;=DATE(2025,1,31)), U30/DDashboard!$C$2, AND(B30&gt;=DATE(2025,2,1), B30&lt;=DATE(2025,2,28)), U30/DDashboard!$C$3, AND(B30&gt;=DATE(2025,3,1), B30&lt;=DATE(2025,3,31)), U30/DDashboard!$C$4, AND(B30&gt;=DATE(2025,4,1), B30&lt;=DATE(2025,4,30)), U30/DDashboard!$C$5,AND(B30&gt;=DATE(2025,5,1), B30&lt;=DATE(2025,5,31)), U30/DDashboard!$C$6,AND(B30&gt;=DATE(2025,6,1), B30&lt;=DATE(2025,6,30)), U30/DDashboard!$C$7,AND(B30&gt;=DATE(2025,7,1), B30&lt;=DATE(2025,7,31)), U30/DDashboard!$C$8,AND(B30&gt;=DATE(2025,8,1), B30&lt;=DATE(2025,8,31)), U30/DDashboard!$C$9,AND(B30&gt;=DATE(2025,9,1), B30&lt;=DATE(2025,9,30)), U30/DDashboard!$C$10,AND(B30&gt;=DATE(2025,10,1), B30&lt;=DATE(2025,10,31)), U30/DDashboard!$C$11,AND(B30&gt;=DATE(2025,11,1), B30&lt;=DATE(2025,11,30)), U30/DDashboard!$C$12, AND(B30&gt;=DATE(2025,12,1), B30&lt;=DATE(2025,12,31)), U30/DDashboard!$C$13, True, "")
</f>
        <v>0.0535</v>
      </c>
      <c r="W30" s="201">
        <f t="shared" si="3"/>
        <v>0.004672897196</v>
      </c>
      <c r="X30" s="128">
        <v>1081.0</v>
      </c>
      <c r="Y30" s="203">
        <v>50.0</v>
      </c>
      <c r="Z30" s="221">
        <v>45862.0</v>
      </c>
      <c r="AA30" s="371"/>
      <c r="AB30" s="203"/>
      <c r="AC30" s="204"/>
      <c r="AD30" s="205"/>
      <c r="AE30" s="203"/>
      <c r="AF30" s="372"/>
      <c r="AG30" s="206" t="str">
        <f t="shared" si="4"/>
        <v/>
      </c>
      <c r="AH30" s="196">
        <f t="shared" si="5"/>
        <v>50</v>
      </c>
      <c r="AI30" s="207">
        <f t="shared" ref="AI30:AI208" si="24">IF(ISBLANK(E30), IF(ISBLANK(X30), K30, IFERROR(IF(ISBLANK(C30),X30*Y30+AA30*AB30+AD30*AE30+AG30*K30,X30*Y30+AA30*AB30+AD30*AE30+AG30*G30)/(Y30+AB30+AE30+AG30) , "")),(X30*Y30+AA30*AB30+AD30*AE30+AG30*G30)/(Y30+AB30+AE30+AG30))</f>
        <v>1081</v>
      </c>
      <c r="AJ30" s="367">
        <f t="shared" si="7"/>
        <v>0.01028037383</v>
      </c>
      <c r="AK30" s="208">
        <f t="shared" ref="AK30:AK208" si="25">IFERROR(IFS(AND(J30="B",ISBLANK(I30)),(G30-H30)*AG30,AND(J30="B",ISNUMBER(I30)),(G30-I30)*AG30,AND(J30="S",ISBLANK(I30)),(H30-G30)*AG30,AND(J30="S",ISNUMBER(I30)),(I30-G30)*AG30),"")</f>
        <v>0</v>
      </c>
      <c r="AL30" s="207">
        <f t="shared" si="22"/>
        <v>2.2</v>
      </c>
      <c r="AM30" s="209">
        <f>IF(AN30="", "", IF(AN30="Closed", 
    IF(ISNUMBER(AF30), AF30-B30,
        IF(ISNUMBER(AC30), AC30-B30,
            IF(ISNUMBER(Z30), Z30-B30, "")
        )
    ), 
    TODAY()-B30))</f>
        <v>0</v>
      </c>
      <c r="AN30" s="62" t="str">
        <f t="shared" si="11"/>
        <v>Closed</v>
      </c>
      <c r="AO30" s="366">
        <f t="shared" si="12"/>
        <v>45862</v>
      </c>
      <c r="AP30" s="210">
        <f t="shared" si="13"/>
        <v>54050</v>
      </c>
      <c r="AQ30" s="196">
        <f t="shared" ref="AQ30:AQ208" si="26">IFS(AND(ISBLANK(D30),N30&lt;&gt;"",AN30="Closed",J30="B"),(AH30*AI30)-U30,AND(ISBLANK(D30),N30&lt;&gt;"",AN30&lt;&gt;"Closed",J30="B"),(X30*Y30+AA30*AB30+AD30*AE30+K30*AG30)-U30, AND(ISBLANK(D30),N30&lt;&gt;"",AN30="Closed",J30="S"),U30-(AH30*AI30),AND(ISBLANK(D30),N30&lt;&gt;"",AN30&lt;&gt;"Closed",J30="S"),U30-(X30*Y30+AA30*AB30+AD30*AE30+K30*AG30),AND(D30&lt;&gt;"",N30&lt;&gt;"",AH30&lt;&gt;"",AN30="Closed",J30="B"),(AH30*AI30)-(G30*(AG30+AH30)),AND(D30&lt;&gt;"",N30&lt;&gt;"",AH30&lt;&gt;"",AN30="Closed",J30="S"),(G30*(AG30+AH30))-(AH30*AI30),AND(D30&lt;&gt;"",N30&lt;&gt;"",AN30&lt;&gt;"Closed"),"",ISBLANK(B30),"")</f>
        <v>550</v>
      </c>
      <c r="AR30" s="168">
        <f>IFS(AND(B30&gt;=DATE(2025,1,1), B30&lt;=DATE(2025,1,31)), AQ30/DDashboard!$C$2, AND(B30&gt;=DATE(2025,2,1), B30&lt;=DATE(2025,2,28)), AQ30/DDashboard!$C$3, AND(B30&gt;=DATE(2025,3,1), B30&lt;=DATE(2025,3,31)), AQ30/DDashboard!$C$4, AND(B30&gt;=DATE(2025,4,1), B30&lt;=DATE(2025,4,30)), AQ30/DDashboard!$C$5,AND(B30&gt;=DATE(2025,5,1), B30&lt;=DATE(2025,5,31)), AQ30/DDashboard!$C$6,AND(B30&gt;=DATE(2025,6,1), B30&lt;=DATE(2025,6,30)), AQ30/DDashboard!$C$7,AND(B30&gt;=DATE(2025,7,1), B30&lt;=DATE(2025,7,31)), AQ30/DDashboard!$C$8,AND(B30&gt;=DATE(2025,8,1), B30&lt;=DATE(2025,8,31)), AQ30/DDashboard!$C$9,AND(B30&gt;=DATE(2025,9,1), B30&lt;=DATE(2025,9,30)), AQ30/DDashboard!$C$10,AND(B30&gt;=DATE(2025,10,1), B30&lt;=DATE(2025,10,31)), AQ30/DDashboard!$C$11,AND(B30&gt;=DATE(2025,11,1), B30&lt;=DATE(2025,11,30)), AQ30/DDashboard!$C$12, AND(B30&gt;=DATE(2025,12,1), B30&lt;=DATE(2025,12,31)), AQ30/DDashboard!$C$13, True, "")
</f>
        <v>0.00055</v>
      </c>
      <c r="AS30" s="200">
        <f t="array" ref="AS30">IF(ISBLANK(C30), "", SUM($AR$9:AR30)
)</f>
        <v>-0.14055622</v>
      </c>
      <c r="AT30" s="169" t="b">
        <v>0</v>
      </c>
      <c r="AU30" s="169" t="s">
        <v>93</v>
      </c>
      <c r="AV30" s="169"/>
      <c r="AW30" s="169" t="s">
        <v>69</v>
      </c>
      <c r="AX30" s="211"/>
    </row>
    <row r="31">
      <c r="A31" s="357">
        <v>30.0</v>
      </c>
      <c r="B31" s="232">
        <v>45863.0</v>
      </c>
      <c r="C31" s="139" t="s">
        <v>109</v>
      </c>
      <c r="D31" s="139"/>
      <c r="E31" s="141"/>
      <c r="F31" s="142">
        <v>1290.0</v>
      </c>
      <c r="G31" s="143">
        <f t="shared" si="1"/>
        <v>1290</v>
      </c>
      <c r="H31" s="144">
        <v>1300.0</v>
      </c>
      <c r="I31" s="144"/>
      <c r="J31" s="141" t="s">
        <v>103</v>
      </c>
      <c r="K31" s="145">
        <f>IFERROR(__xludf.DUMMYFUNCTION("IF(ISBLANK(C31), """", GOOGLEFINANCE(""NSE:"" &amp; C31,""price""))"),956.6)</f>
        <v>956.6</v>
      </c>
      <c r="L31" s="146" t="s">
        <v>92</v>
      </c>
      <c r="M31" s="147"/>
      <c r="N31" s="148">
        <v>125.0</v>
      </c>
      <c r="O31" s="225"/>
      <c r="P31" s="226"/>
      <c r="Q31" s="227"/>
      <c r="R31" s="373"/>
      <c r="S31" s="226"/>
      <c r="T31" s="368"/>
      <c r="U31" s="153">
        <f t="shared" si="23"/>
        <v>161250</v>
      </c>
      <c r="V31" s="154">
        <f>IFS(AND(B31&gt;=DATE(2025,1,1), B31&lt;=DATE(2025,1,31)), U31/DDashboard!$C$2, AND(B31&gt;=DATE(2025,2,1), B31&lt;=DATE(2025,2,28)), U31/DDashboard!$C$3, AND(B31&gt;=DATE(2025,3,1), B31&lt;=DATE(2025,3,31)), U31/DDashboard!$C$4, AND(B31&gt;=DATE(2025,4,1), B31&lt;=DATE(2025,4,30)), U31/DDashboard!$C$5,AND(B31&gt;=DATE(2025,5,1), B31&lt;=DATE(2025,5,31)), U31/DDashboard!$C$6,AND(B31&gt;=DATE(2025,6,1), B31&lt;=DATE(2025,6,30)), U31/DDashboard!$C$7,AND(B31&gt;=DATE(2025,7,1), B31&lt;=DATE(2025,7,31)), U31/DDashboard!$C$8,AND(B31&gt;=DATE(2025,8,1), B31&lt;=DATE(2025,8,31)), U31/DDashboard!$C$9,AND(B31&gt;=DATE(2025,9,1), B31&lt;=DATE(2025,9,30)), U31/DDashboard!$C$10,AND(B31&gt;=DATE(2025,10,1), B31&lt;=DATE(2025,10,31)), U31/DDashboard!$C$11,AND(B31&gt;=DATE(2025,11,1), B31&lt;=DATE(2025,11,30)), U31/DDashboard!$C$12, AND(B31&gt;=DATE(2025,12,1), B31&lt;=DATE(2025,12,31)), U31/DDashboard!$C$13, True, "")
</f>
        <v>0.16125</v>
      </c>
      <c r="W31" s="65">
        <f t="shared" si="3"/>
        <v>0.007751937984</v>
      </c>
      <c r="X31" s="250">
        <v>1283.0</v>
      </c>
      <c r="Y31" s="156">
        <v>125.0</v>
      </c>
      <c r="Z31" s="157">
        <v>45863.0</v>
      </c>
      <c r="AA31" s="374"/>
      <c r="AB31" s="156"/>
      <c r="AC31" s="375"/>
      <c r="AD31" s="159"/>
      <c r="AE31" s="156"/>
      <c r="AF31" s="158"/>
      <c r="AG31" s="160" t="str">
        <f t="shared" si="4"/>
        <v/>
      </c>
      <c r="AH31" s="150">
        <f t="shared" si="5"/>
        <v>125</v>
      </c>
      <c r="AI31" s="161">
        <f t="shared" si="24"/>
        <v>1283</v>
      </c>
      <c r="AJ31" s="365">
        <f t="shared" si="7"/>
        <v>0.005426356589</v>
      </c>
      <c r="AK31" s="162">
        <f t="shared" si="25"/>
        <v>0</v>
      </c>
      <c r="AL31" s="161">
        <f t="shared" si="22"/>
        <v>0.7</v>
      </c>
      <c r="AM31" s="163">
        <f>IF(AN31="", "", IF(AN31="Closed", IF(ISNUMBER(AF31), AF31-B31,IF(ISNUMBER(AC31), AC31-B31,IF(ISNUMBER(Z31), Z31-B31, ""))), TODAY()-B31))
</f>
        <v>0</v>
      </c>
      <c r="AN31" s="62" t="str">
        <f t="shared" si="11"/>
        <v>Closed</v>
      </c>
      <c r="AO31" s="366">
        <f t="shared" si="12"/>
        <v>45863</v>
      </c>
      <c r="AP31" s="166">
        <f t="shared" si="13"/>
        <v>160375</v>
      </c>
      <c r="AQ31" s="167">
        <f t="shared" si="26"/>
        <v>875</v>
      </c>
      <c r="AR31" s="168">
        <f>IFS(AND(B31&gt;=DATE(2025,1,1), B31&lt;=DATE(2025,1,31)), AQ31/DDashboard!$C$2, AND(B31&gt;=DATE(2025,2,1), B31&lt;=DATE(2025,2,28)), AQ31/DDashboard!$C$3, AND(B31&gt;=DATE(2025,3,1), B31&lt;=DATE(2025,3,31)), AQ31/DDashboard!$C$4, AND(B31&gt;=DATE(2025,4,1), B31&lt;=DATE(2025,4,30)), AQ31/DDashboard!$C$5,AND(B31&gt;=DATE(2025,5,1), B31&lt;=DATE(2025,5,31)), AQ31/DDashboard!$C$6,AND(B31&gt;=DATE(2025,6,1), B31&lt;=DATE(2025,6,30)), AQ31/DDashboard!$C$7,AND(B31&gt;=DATE(2025,7,1), B31&lt;=DATE(2025,7,31)), AQ31/DDashboard!$C$8,AND(B31&gt;=DATE(2025,8,1), B31&lt;=DATE(2025,8,31)), AQ31/DDashboard!$C$9,AND(B31&gt;=DATE(2025,9,1), B31&lt;=DATE(2025,9,30)), AQ31/DDashboard!$C$10,AND(B31&gt;=DATE(2025,10,1), B31&lt;=DATE(2025,10,31)), AQ31/DDashboard!$C$11,AND(B31&gt;=DATE(2025,11,1), B31&lt;=DATE(2025,11,30)), AQ31/DDashboard!$C$12, AND(B31&gt;=DATE(2025,12,1), B31&lt;=DATE(2025,12,31)), AQ31/DDashboard!$C$13, True, "")
</f>
        <v>0.000875</v>
      </c>
      <c r="AS31" s="200">
        <f t="array" ref="AS31">IF(ISBLANK(C31), "", SUM($AR$9:AR31)
)</f>
        <v>-0.13968122</v>
      </c>
      <c r="AT31" s="169" t="b">
        <v>0</v>
      </c>
      <c r="AU31" s="169" t="s">
        <v>104</v>
      </c>
      <c r="AV31" s="169"/>
      <c r="AW31" s="169"/>
      <c r="AX31" s="183"/>
    </row>
    <row r="32">
      <c r="A32" s="361">
        <v>31.0</v>
      </c>
      <c r="B32" s="34">
        <v>45868.0</v>
      </c>
      <c r="C32" s="185" t="s">
        <v>97</v>
      </c>
      <c r="D32" s="185"/>
      <c r="E32" s="328"/>
      <c r="F32" s="188">
        <v>16830.0</v>
      </c>
      <c r="G32" s="189">
        <f t="shared" si="1"/>
        <v>16801.5</v>
      </c>
      <c r="H32" s="190">
        <v>16730.0</v>
      </c>
      <c r="I32" s="190"/>
      <c r="J32" s="187" t="s">
        <v>48</v>
      </c>
      <c r="K32" s="145">
        <f>IFERROR(__xludf.DUMMYFUNCTION("IF(ISBLANK(C32), """", GOOGLEFINANCE(""NSE:"" &amp; C32,""price""))"),11271.0)</f>
        <v>11271</v>
      </c>
      <c r="L32" s="213" t="s">
        <v>84</v>
      </c>
      <c r="M32" s="193"/>
      <c r="N32" s="194">
        <v>20.0</v>
      </c>
      <c r="O32" s="205">
        <v>16773.0</v>
      </c>
      <c r="P32" s="228">
        <v>20.0</v>
      </c>
      <c r="Q32" s="34">
        <v>45868.0</v>
      </c>
      <c r="R32" s="198"/>
      <c r="S32" s="196"/>
      <c r="T32" s="376"/>
      <c r="U32" s="199">
        <f t="shared" si="23"/>
        <v>672060</v>
      </c>
      <c r="V32" s="200">
        <f>IFS(AND(B32&gt;=DATE(2025,1,1), B32&lt;=DATE(2025,1,31)), U32/DDashboard!$C$2, AND(B32&gt;=DATE(2025,2,1), B32&lt;=DATE(2025,2,28)), U32/DDashboard!$C$3, AND(B32&gt;=DATE(2025,3,1), B32&lt;=DATE(2025,3,31)), U32/DDashboard!$C$4, AND(B32&gt;=DATE(2025,4,1), B32&lt;=DATE(2025,4,30)), U32/DDashboard!$C$5,AND(B32&gt;=DATE(2025,5,1), B32&lt;=DATE(2025,5,31)), U32/DDashboard!$C$6,AND(B32&gt;=DATE(2025,6,1), B32&lt;=DATE(2025,6,30)), U32/DDashboard!$C$7,AND(B32&gt;=DATE(2025,7,1), B32&lt;=DATE(2025,7,31)), U32/DDashboard!$C$8,AND(B32&gt;=DATE(2025,8,1), B32&lt;=DATE(2025,8,31)), U32/DDashboard!$C$9,AND(B32&gt;=DATE(2025,9,1), B32&lt;=DATE(2025,9,30)), U32/DDashboard!$C$10,AND(B32&gt;=DATE(2025,10,1), B32&lt;=DATE(2025,10,31)), U32/DDashboard!$C$11,AND(B32&gt;=DATE(2025,11,1), B32&lt;=DATE(2025,11,30)), U32/DDashboard!$C$12, AND(B32&gt;=DATE(2025,12,1), B32&lt;=DATE(2025,12,31)), U32/DDashboard!$C$13, True, "")
</f>
        <v>0.67206</v>
      </c>
      <c r="W32" s="201">
        <f t="shared" si="3"/>
        <v>0.005941770648</v>
      </c>
      <c r="X32" s="128">
        <v>16725.0</v>
      </c>
      <c r="Y32" s="203">
        <v>40.0</v>
      </c>
      <c r="Z32" s="34">
        <v>45868.0</v>
      </c>
      <c r="AA32" s="202"/>
      <c r="AB32" s="203"/>
      <c r="AC32" s="204"/>
      <c r="AD32" s="195"/>
      <c r="AE32" s="222"/>
      <c r="AF32" s="223"/>
      <c r="AG32" s="206" t="str">
        <f t="shared" si="4"/>
        <v/>
      </c>
      <c r="AH32" s="196">
        <f t="shared" si="5"/>
        <v>40</v>
      </c>
      <c r="AI32" s="207">
        <f t="shared" si="24"/>
        <v>16725</v>
      </c>
      <c r="AJ32" s="367">
        <f t="shared" si="7"/>
        <v>-0.004553164896</v>
      </c>
      <c r="AK32" s="208">
        <f t="shared" si="25"/>
        <v>0</v>
      </c>
      <c r="AL32" s="207">
        <f t="shared" si="22"/>
        <v>-0.766297652</v>
      </c>
      <c r="AM32" s="209">
        <f>IF(AN32="", "", IF(AN32="Closed", 
    IF(ISNUMBER(AF32), AF32-B32,
        IF(ISNUMBER(AC32), AC32-B32,
            IF(ISNUMBER(Z32), Z32-B32, "")
        )
    ), 
    TODAY()-B32))</f>
        <v>0</v>
      </c>
      <c r="AN32" s="62" t="str">
        <f t="shared" si="11"/>
        <v>Closed</v>
      </c>
      <c r="AO32" s="366">
        <f t="shared" si="12"/>
        <v>45868</v>
      </c>
      <c r="AP32" s="210">
        <f t="shared" si="13"/>
        <v>669000</v>
      </c>
      <c r="AQ32" s="196">
        <f t="shared" si="26"/>
        <v>-3060</v>
      </c>
      <c r="AR32" s="168">
        <f>IFS(AND(B32&gt;=DATE(2025,1,1), B32&lt;=DATE(2025,1,31)), AQ32/DDashboard!$C$2, AND(B32&gt;=DATE(2025,2,1), B32&lt;=DATE(2025,2,28)), AQ32/DDashboard!$C$3, AND(B32&gt;=DATE(2025,3,1), B32&lt;=DATE(2025,3,31)), AQ32/DDashboard!$C$4, AND(B32&gt;=DATE(2025,4,1), B32&lt;=DATE(2025,4,30)), AQ32/DDashboard!$C$5,AND(B32&gt;=DATE(2025,5,1), B32&lt;=DATE(2025,5,31)), AQ32/DDashboard!$C$6,AND(B32&gt;=DATE(2025,6,1), B32&lt;=DATE(2025,6,30)), AQ32/DDashboard!$C$7,AND(B32&gt;=DATE(2025,7,1), B32&lt;=DATE(2025,7,31)), AQ32/DDashboard!$C$8,AND(B32&gt;=DATE(2025,8,1), B32&lt;=DATE(2025,8,31)), AQ32/DDashboard!$C$9,AND(B32&gt;=DATE(2025,9,1), B32&lt;=DATE(2025,9,30)), AQ32/DDashboard!$C$10,AND(B32&gt;=DATE(2025,10,1), B32&lt;=DATE(2025,10,31)), AQ32/DDashboard!$C$11,AND(B32&gt;=DATE(2025,11,1), B32&lt;=DATE(2025,11,30)), AQ32/DDashboard!$C$12, AND(B32&gt;=DATE(2025,12,1), B32&lt;=DATE(2025,12,31)), AQ32/DDashboard!$C$13, True, "")
</f>
        <v>-0.00306</v>
      </c>
      <c r="AS32" s="200">
        <f t="array" ref="AS32">IF(ISBLANK(C32), "", SUM($AR$9:AR32)
)</f>
        <v>-0.14274122</v>
      </c>
      <c r="AT32" s="169" t="b">
        <v>0</v>
      </c>
      <c r="AU32" s="169" t="s">
        <v>110</v>
      </c>
      <c r="AV32" s="169"/>
      <c r="AW32" s="169" t="s">
        <v>82</v>
      </c>
      <c r="AX32" s="32"/>
    </row>
    <row r="33">
      <c r="A33" s="357">
        <v>32.0</v>
      </c>
      <c r="B33" s="232">
        <v>45868.0</v>
      </c>
      <c r="C33" s="139" t="s">
        <v>111</v>
      </c>
      <c r="D33" s="139"/>
      <c r="E33" s="301" t="s">
        <v>112</v>
      </c>
      <c r="F33" s="142">
        <v>560.0</v>
      </c>
      <c r="G33" s="189">
        <f t="shared" si="1"/>
        <v>560</v>
      </c>
      <c r="H33" s="144">
        <v>540.0</v>
      </c>
      <c r="I33" s="144"/>
      <c r="J33" s="141" t="s">
        <v>48</v>
      </c>
      <c r="K33" s="145" t="str">
        <f>IFERROR(__xludf.DUMMYFUNCTION("IF(ISBLANK(C33), """", GOOGLEFINANCE(""NSE:"" &amp; C33,""price""))"),"#N/A")</f>
        <v>#N/A</v>
      </c>
      <c r="L33" s="146" t="s">
        <v>49</v>
      </c>
      <c r="M33" s="147"/>
      <c r="N33" s="148">
        <v>50.0</v>
      </c>
      <c r="O33" s="149"/>
      <c r="P33" s="150"/>
      <c r="Q33" s="377"/>
      <c r="R33" s="152"/>
      <c r="S33" s="150"/>
      <c r="T33" s="377"/>
      <c r="U33" s="153">
        <f t="shared" si="23"/>
        <v>28000</v>
      </c>
      <c r="V33" s="154">
        <f>IFS(AND(B33&gt;=DATE(2025,1,1), B33&lt;=DATE(2025,1,31)), U33/DDashboard!$C$2, AND(B33&gt;=DATE(2025,2,1), B33&lt;=DATE(2025,2,28)), U33/DDashboard!$C$3, AND(B33&gt;=DATE(2025,3,1), B33&lt;=DATE(2025,3,31)), U33/DDashboard!$C$4, AND(B33&gt;=DATE(2025,4,1), B33&lt;=DATE(2025,4,30)), U33/DDashboard!$C$5,AND(B33&gt;=DATE(2025,5,1), B33&lt;=DATE(2025,5,31)), U33/DDashboard!$C$6,AND(B33&gt;=DATE(2025,6,1), B33&lt;=DATE(2025,6,30)), U33/DDashboard!$C$7,AND(B33&gt;=DATE(2025,7,1), B33&lt;=DATE(2025,7,31)), U33/DDashboard!$C$8,AND(B33&gt;=DATE(2025,8,1), B33&lt;=DATE(2025,8,31)), U33/DDashboard!$C$9,AND(B33&gt;=DATE(2025,9,1), B33&lt;=DATE(2025,9,30)), U33/DDashboard!$C$10,AND(B33&gt;=DATE(2025,10,1), B33&lt;=DATE(2025,10,31)), U33/DDashboard!$C$11,AND(B33&gt;=DATE(2025,11,1), B33&lt;=DATE(2025,11,30)), U33/DDashboard!$C$12, AND(B33&gt;=DATE(2025,12,1), B33&lt;=DATE(2025,12,31)), U33/DDashboard!$C$13, True, "")
</f>
        <v>0.028</v>
      </c>
      <c r="W33" s="65">
        <f t="shared" si="3"/>
        <v>0.03571428571</v>
      </c>
      <c r="X33" s="250">
        <v>540.0</v>
      </c>
      <c r="Y33" s="156">
        <v>50.0</v>
      </c>
      <c r="Z33" s="157">
        <v>45868.0</v>
      </c>
      <c r="AA33" s="155"/>
      <c r="AB33" s="156"/>
      <c r="AC33" s="158"/>
      <c r="AD33" s="159"/>
      <c r="AE33" s="156"/>
      <c r="AF33" s="158"/>
      <c r="AG33" s="160" t="str">
        <f t="shared" si="4"/>
        <v/>
      </c>
      <c r="AH33" s="150">
        <f t="shared" si="5"/>
        <v>50</v>
      </c>
      <c r="AI33" s="161">
        <f t="shared" si="24"/>
        <v>540</v>
      </c>
      <c r="AJ33" s="365">
        <f t="shared" si="7"/>
        <v>-0.03571428571</v>
      </c>
      <c r="AK33" s="162">
        <f t="shared" si="25"/>
        <v>0</v>
      </c>
      <c r="AL33" s="161">
        <f t="shared" si="22"/>
        <v>-1</v>
      </c>
      <c r="AM33" s="163">
        <f>IF(AN33="", "", IF(AN33="Closed", IF(ISNUMBER(AF33), AF33-B33,IF(ISNUMBER(AC33), AC33-B33,IF(ISNUMBER(Z33), Z33-B33, ""))), TODAY()-B33))
</f>
        <v>0</v>
      </c>
      <c r="AN33" s="62" t="str">
        <f t="shared" si="11"/>
        <v>Closed</v>
      </c>
      <c r="AO33" s="366">
        <f t="shared" si="12"/>
        <v>45868</v>
      </c>
      <c r="AP33" s="166">
        <f t="shared" si="13"/>
        <v>27000</v>
      </c>
      <c r="AQ33" s="167">
        <f t="shared" si="26"/>
        <v>-1000</v>
      </c>
      <c r="AR33" s="168">
        <f>IFS(AND(B33&gt;=DATE(2025,1,1), B33&lt;=DATE(2025,1,31)), AQ33/DDashboard!$C$2, AND(B33&gt;=DATE(2025,2,1), B33&lt;=DATE(2025,2,28)), AQ33/DDashboard!$C$3, AND(B33&gt;=DATE(2025,3,1), B33&lt;=DATE(2025,3,31)), AQ33/DDashboard!$C$4, AND(B33&gt;=DATE(2025,4,1), B33&lt;=DATE(2025,4,30)), AQ33/DDashboard!$C$5,AND(B33&gt;=DATE(2025,5,1), B33&lt;=DATE(2025,5,31)), AQ33/DDashboard!$C$6,AND(B33&gt;=DATE(2025,6,1), B33&lt;=DATE(2025,6,30)), AQ33/DDashboard!$C$7,AND(B33&gt;=DATE(2025,7,1), B33&lt;=DATE(2025,7,31)), AQ33/DDashboard!$C$8,AND(B33&gt;=DATE(2025,8,1), B33&lt;=DATE(2025,8,31)), AQ33/DDashboard!$C$9,AND(B33&gt;=DATE(2025,9,1), B33&lt;=DATE(2025,9,30)), AQ33/DDashboard!$C$10,AND(B33&gt;=DATE(2025,10,1), B33&lt;=DATE(2025,10,31)), AQ33/DDashboard!$C$11,AND(B33&gt;=DATE(2025,11,1), B33&lt;=DATE(2025,11,30)), AQ33/DDashboard!$C$12, AND(B33&gt;=DATE(2025,12,1), B33&lt;=DATE(2025,12,31)), AQ33/DDashboard!$C$13, True, "")
</f>
        <v>-0.001</v>
      </c>
      <c r="AS33" s="200">
        <f t="array" ref="AS33">IF(ISBLANK(C33), "", SUM($AR$9:AR33)
)</f>
        <v>-0.14374122</v>
      </c>
      <c r="AT33" s="169" t="b">
        <v>0</v>
      </c>
      <c r="AU33" s="169" t="s">
        <v>110</v>
      </c>
      <c r="AV33" s="169"/>
      <c r="AW33" s="169" t="s">
        <v>82</v>
      </c>
      <c r="AX33" s="183"/>
    </row>
    <row r="34">
      <c r="A34" s="361">
        <v>33.0</v>
      </c>
      <c r="B34" s="34">
        <v>45868.0</v>
      </c>
      <c r="C34" s="185" t="s">
        <v>113</v>
      </c>
      <c r="D34" s="185"/>
      <c r="E34" s="187"/>
      <c r="F34" s="188">
        <v>17800.0</v>
      </c>
      <c r="G34" s="189">
        <f t="shared" si="1"/>
        <v>17800</v>
      </c>
      <c r="H34" s="378">
        <v>17750.0</v>
      </c>
      <c r="I34" s="190"/>
      <c r="J34" s="187" t="s">
        <v>48</v>
      </c>
      <c r="K34" s="145" t="str">
        <f>IFERROR(__xludf.DUMMYFUNCTION("IF(ISBLANK(C34), """", GOOGLEFINANCE(""NSE:"" &amp; C34,""price""))"),"#N/A")</f>
        <v>#N/A</v>
      </c>
      <c r="L34" s="213" t="s">
        <v>49</v>
      </c>
      <c r="M34" s="193"/>
      <c r="N34" s="194">
        <v>50.0</v>
      </c>
      <c r="O34" s="205"/>
      <c r="P34" s="228"/>
      <c r="Q34" s="370"/>
      <c r="R34" s="198"/>
      <c r="S34" s="196"/>
      <c r="T34" s="376"/>
      <c r="U34" s="199">
        <f t="shared" si="23"/>
        <v>890000</v>
      </c>
      <c r="V34" s="200">
        <f>IFS(AND(B34&gt;=DATE(2025,1,1), B34&lt;=DATE(2025,1,31)), U34/DDashboard!$C$2, AND(B34&gt;=DATE(2025,2,1), B34&lt;=DATE(2025,2,28)), U34/DDashboard!$C$3, AND(B34&gt;=DATE(2025,3,1), B34&lt;=DATE(2025,3,31)), U34/DDashboard!$C$4, AND(B34&gt;=DATE(2025,4,1), B34&lt;=DATE(2025,4,30)), U34/DDashboard!$C$5,AND(B34&gt;=DATE(2025,5,1), B34&lt;=DATE(2025,5,31)), U34/DDashboard!$C$6,AND(B34&gt;=DATE(2025,6,1), B34&lt;=DATE(2025,6,30)), U34/DDashboard!$C$7,AND(B34&gt;=DATE(2025,7,1), B34&lt;=DATE(2025,7,31)), U34/DDashboard!$C$8,AND(B34&gt;=DATE(2025,8,1), B34&lt;=DATE(2025,8,31)), U34/DDashboard!$C$9,AND(B34&gt;=DATE(2025,9,1), B34&lt;=DATE(2025,9,30)), U34/DDashboard!$C$10,AND(B34&gt;=DATE(2025,10,1), B34&lt;=DATE(2025,10,31)), U34/DDashboard!$C$11,AND(B34&gt;=DATE(2025,11,1), B34&lt;=DATE(2025,11,30)), U34/DDashboard!$C$12, AND(B34&gt;=DATE(2025,12,1), B34&lt;=DATE(2025,12,31)), U34/DDashboard!$C$13, True, "")
</f>
        <v>0.89</v>
      </c>
      <c r="W34" s="201">
        <f t="shared" si="3"/>
        <v>0.002808988764</v>
      </c>
      <c r="X34" s="128">
        <v>17750.0</v>
      </c>
      <c r="Y34" s="203">
        <v>50.0</v>
      </c>
      <c r="Z34" s="34">
        <v>45868.0</v>
      </c>
      <c r="AA34" s="202"/>
      <c r="AB34" s="203"/>
      <c r="AC34" s="372"/>
      <c r="AD34" s="195"/>
      <c r="AE34" s="222"/>
      <c r="AF34" s="223"/>
      <c r="AG34" s="206" t="str">
        <f t="shared" si="4"/>
        <v/>
      </c>
      <c r="AH34" s="196">
        <f t="shared" si="5"/>
        <v>50</v>
      </c>
      <c r="AI34" s="207">
        <f t="shared" si="24"/>
        <v>17750</v>
      </c>
      <c r="AJ34" s="367">
        <f t="shared" si="7"/>
        <v>-0.002808988764</v>
      </c>
      <c r="AK34" s="208">
        <f t="shared" si="25"/>
        <v>0</v>
      </c>
      <c r="AL34" s="207">
        <f t="shared" si="22"/>
        <v>-1</v>
      </c>
      <c r="AM34" s="209">
        <f>IF(AN34="", "", IF(AN34="Closed", 
    IF(ISNUMBER(AF34), AF34-B34,
        IF(ISNUMBER(AC34), AC34-B34,
            IF(ISNUMBER(Z34), Z34-B34, "")
        )
    ), 
    TODAY()-B34))</f>
        <v>0</v>
      </c>
      <c r="AN34" s="62" t="str">
        <f t="shared" si="11"/>
        <v>Closed</v>
      </c>
      <c r="AO34" s="366">
        <f t="shared" si="12"/>
        <v>45868</v>
      </c>
      <c r="AP34" s="210">
        <f t="shared" si="13"/>
        <v>887500</v>
      </c>
      <c r="AQ34" s="196">
        <f t="shared" si="26"/>
        <v>-2500</v>
      </c>
      <c r="AR34" s="168">
        <f>IFS(AND(B34&gt;=DATE(2025,1,1), B34&lt;=DATE(2025,1,31)), AQ34/DDashboard!$C$2, AND(B34&gt;=DATE(2025,2,1), B34&lt;=DATE(2025,2,28)), AQ34/DDashboard!$C$3, AND(B34&gt;=DATE(2025,3,1), B34&lt;=DATE(2025,3,31)), AQ34/DDashboard!$C$4, AND(B34&gt;=DATE(2025,4,1), B34&lt;=DATE(2025,4,30)), AQ34/DDashboard!$C$5,AND(B34&gt;=DATE(2025,5,1), B34&lt;=DATE(2025,5,31)), AQ34/DDashboard!$C$6,AND(B34&gt;=DATE(2025,6,1), B34&lt;=DATE(2025,6,30)), AQ34/DDashboard!$C$7,AND(B34&gt;=DATE(2025,7,1), B34&lt;=DATE(2025,7,31)), AQ34/DDashboard!$C$8,AND(B34&gt;=DATE(2025,8,1), B34&lt;=DATE(2025,8,31)), AQ34/DDashboard!$C$9,AND(B34&gt;=DATE(2025,9,1), B34&lt;=DATE(2025,9,30)), AQ34/DDashboard!$C$10,AND(B34&gt;=DATE(2025,10,1), B34&lt;=DATE(2025,10,31)), AQ34/DDashboard!$C$11,AND(B34&gt;=DATE(2025,11,1), B34&lt;=DATE(2025,11,30)), AQ34/DDashboard!$C$12, AND(B34&gt;=DATE(2025,12,1), B34&lt;=DATE(2025,12,31)), AQ34/DDashboard!$C$13, True, "")
</f>
        <v>-0.0025</v>
      </c>
      <c r="AS34" s="200">
        <f t="array" ref="AS34">IF(ISBLANK(C34), "", SUM($AR$9:AR34)
)</f>
        <v>-0.14624122</v>
      </c>
      <c r="AT34" s="169" t="b">
        <v>0</v>
      </c>
      <c r="AU34" s="169" t="s">
        <v>110</v>
      </c>
      <c r="AV34" s="169"/>
      <c r="AW34" s="169" t="s">
        <v>82</v>
      </c>
      <c r="AX34" s="32"/>
    </row>
    <row r="35">
      <c r="A35" s="357">
        <v>34.0</v>
      </c>
      <c r="B35" s="232">
        <v>45869.0</v>
      </c>
      <c r="C35" s="139" t="s">
        <v>114</v>
      </c>
      <c r="D35" s="139"/>
      <c r="E35" s="141"/>
      <c r="F35" s="142">
        <v>111.0</v>
      </c>
      <c r="G35" s="189">
        <f t="shared" si="1"/>
        <v>110.4</v>
      </c>
      <c r="H35" s="144">
        <v>105.0</v>
      </c>
      <c r="I35" s="144"/>
      <c r="J35" s="141" t="s">
        <v>48</v>
      </c>
      <c r="K35" s="145">
        <f>IFERROR(__xludf.DUMMYFUNCTION("IF(ISBLANK(C35), """", GOOGLEFINANCE(""NSE:"" &amp; C35,""price""))"),65.84)</f>
        <v>65.84</v>
      </c>
      <c r="L35" s="146" t="s">
        <v>49</v>
      </c>
      <c r="M35" s="147"/>
      <c r="N35" s="148">
        <v>500.0</v>
      </c>
      <c r="O35" s="225">
        <v>109.8</v>
      </c>
      <c r="P35" s="226">
        <v>500.0</v>
      </c>
      <c r="Q35" s="232">
        <v>45869.0</v>
      </c>
      <c r="R35" s="152"/>
      <c r="S35" s="150"/>
      <c r="T35" s="377"/>
      <c r="U35" s="153">
        <f t="shared" si="23"/>
        <v>110400</v>
      </c>
      <c r="V35" s="154">
        <f>IFS(AND(B35&gt;=DATE(2025,1,1), B35&lt;=DATE(2025,1,31)), U35/DDashboard!$C$2, AND(B35&gt;=DATE(2025,2,1), B35&lt;=DATE(2025,2,28)), U35/DDashboard!$C$3, AND(B35&gt;=DATE(2025,3,1), B35&lt;=DATE(2025,3,31)), U35/DDashboard!$C$4, AND(B35&gt;=DATE(2025,4,1), B35&lt;=DATE(2025,4,30)), U35/DDashboard!$C$5,AND(B35&gt;=DATE(2025,5,1), B35&lt;=DATE(2025,5,31)), U35/DDashboard!$C$6,AND(B35&gt;=DATE(2025,6,1), B35&lt;=DATE(2025,6,30)), U35/DDashboard!$C$7,AND(B35&gt;=DATE(2025,7,1), B35&lt;=DATE(2025,7,31)), U35/DDashboard!$C$8,AND(B35&gt;=DATE(2025,8,1), B35&lt;=DATE(2025,8,31)), U35/DDashboard!$C$9,AND(B35&gt;=DATE(2025,9,1), B35&lt;=DATE(2025,9,30)), U35/DDashboard!$C$10,AND(B35&gt;=DATE(2025,10,1), B35&lt;=DATE(2025,10,31)), U35/DDashboard!$C$11,AND(B35&gt;=DATE(2025,11,1), B35&lt;=DATE(2025,11,30)), U35/DDashboard!$C$12, AND(B35&gt;=DATE(2025,12,1), B35&lt;=DATE(2025,12,31)), U35/DDashboard!$C$13, True, "")
</f>
        <v>0.1104</v>
      </c>
      <c r="W35" s="65">
        <f t="shared" si="3"/>
        <v>0.05405405405</v>
      </c>
      <c r="X35" s="379">
        <v>108.95</v>
      </c>
      <c r="Y35" s="380">
        <v>500.0</v>
      </c>
      <c r="Z35" s="157">
        <v>45870.0</v>
      </c>
      <c r="AA35" s="155"/>
      <c r="AB35" s="156"/>
      <c r="AC35" s="158"/>
      <c r="AD35" s="159"/>
      <c r="AE35" s="156"/>
      <c r="AF35" s="158"/>
      <c r="AG35" s="220">
        <f t="shared" si="4"/>
        <v>500</v>
      </c>
      <c r="AH35" s="150">
        <f t="shared" si="5"/>
        <v>500</v>
      </c>
      <c r="AI35" s="161">
        <f t="shared" si="24"/>
        <v>109.675</v>
      </c>
      <c r="AJ35" s="365">
        <f t="shared" si="7"/>
        <v>-0.006567028986</v>
      </c>
      <c r="AK35" s="162">
        <f t="shared" si="25"/>
        <v>2700</v>
      </c>
      <c r="AL35" s="161">
        <f t="shared" si="22"/>
        <v>-0.1214900362</v>
      </c>
      <c r="AM35" s="163">
        <f>IF(AN35="", "", IF(AN35="Closed", IF(ISNUMBER(AF35), AF35-B35,IF(ISNUMBER(AC35), AC35-B35,IF(ISNUMBER(Z35), Z35-B35, ""))), TODAY()-B35))
</f>
        <v>264</v>
      </c>
      <c r="AN35" s="381">
        <f t="shared" si="11"/>
        <v>0.5</v>
      </c>
      <c r="AO35" s="366" t="str">
        <f t="shared" si="12"/>
        <v/>
      </c>
      <c r="AP35" s="166">
        <f t="shared" si="13"/>
        <v>54475</v>
      </c>
      <c r="AQ35" s="167">
        <f t="shared" si="26"/>
        <v>-23005</v>
      </c>
      <c r="AR35" s="168">
        <f>IFS(AND(B35&gt;=DATE(2025,1,1), B35&lt;=DATE(2025,1,31)), AQ35/DDashboard!$C$2, AND(B35&gt;=DATE(2025,2,1), B35&lt;=DATE(2025,2,28)), AQ35/DDashboard!$C$3, AND(B35&gt;=DATE(2025,3,1), B35&lt;=DATE(2025,3,31)), AQ35/DDashboard!$C$4, AND(B35&gt;=DATE(2025,4,1), B35&lt;=DATE(2025,4,30)), AQ35/DDashboard!$C$5,AND(B35&gt;=DATE(2025,5,1), B35&lt;=DATE(2025,5,31)), AQ35/DDashboard!$C$6,AND(B35&gt;=DATE(2025,6,1), B35&lt;=DATE(2025,6,30)), AQ35/DDashboard!$C$7,AND(B35&gt;=DATE(2025,7,1), B35&lt;=DATE(2025,7,31)), AQ35/DDashboard!$C$8,AND(B35&gt;=DATE(2025,8,1), B35&lt;=DATE(2025,8,31)), AQ35/DDashboard!$C$9,AND(B35&gt;=DATE(2025,9,1), B35&lt;=DATE(2025,9,30)), AQ35/DDashboard!$C$10,AND(B35&gt;=DATE(2025,10,1), B35&lt;=DATE(2025,10,31)), AQ35/DDashboard!$C$11,AND(B35&gt;=DATE(2025,11,1), B35&lt;=DATE(2025,11,30)), AQ35/DDashboard!$C$12, AND(B35&gt;=DATE(2025,12,1), B35&lt;=DATE(2025,12,31)), AQ35/DDashboard!$C$13, True, "")
</f>
        <v>-0.023005</v>
      </c>
      <c r="AS35" s="200">
        <f t="array" ref="AS35">IF(ISBLANK(C35), "", SUM($AR$9:AR35)
)</f>
        <v>-0.16924622</v>
      </c>
      <c r="AT35" s="169" t="b">
        <v>0</v>
      </c>
      <c r="AU35" s="169"/>
      <c r="AV35" s="169"/>
      <c r="AW35" s="169"/>
      <c r="AX35" s="183"/>
    </row>
    <row r="36">
      <c r="A36" s="361">
        <v>35.0</v>
      </c>
      <c r="B36" s="34">
        <v>45869.0</v>
      </c>
      <c r="C36" s="185" t="s">
        <v>67</v>
      </c>
      <c r="D36" s="185"/>
      <c r="E36" s="187"/>
      <c r="F36" s="188">
        <v>737.0</v>
      </c>
      <c r="G36" s="189">
        <f t="shared" si="1"/>
        <v>737</v>
      </c>
      <c r="H36" s="190">
        <v>700.0</v>
      </c>
      <c r="I36" s="190"/>
      <c r="J36" s="187" t="s">
        <v>48</v>
      </c>
      <c r="K36" s="145">
        <f>IFERROR(__xludf.DUMMYFUNCTION("IF(ISBLANK(C36), """", GOOGLEFINANCE(""NSE:"" &amp; C36,""price""))"),594.0)</f>
        <v>594</v>
      </c>
      <c r="L36" s="213" t="s">
        <v>79</v>
      </c>
      <c r="M36" s="193"/>
      <c r="N36" s="194">
        <v>50.0</v>
      </c>
      <c r="O36" s="195"/>
      <c r="P36" s="196"/>
      <c r="Q36" s="376"/>
      <c r="R36" s="198"/>
      <c r="S36" s="196"/>
      <c r="T36" s="376"/>
      <c r="U36" s="199">
        <f t="shared" si="23"/>
        <v>36850</v>
      </c>
      <c r="V36" s="200">
        <f>IFS(AND(B36&gt;=DATE(2025,1,1), B36&lt;=DATE(2025,1,31)), U36/DDashboard!$C$2, AND(B36&gt;=DATE(2025,2,1), B36&lt;=DATE(2025,2,28)), U36/DDashboard!$C$3, AND(B36&gt;=DATE(2025,3,1), B36&lt;=DATE(2025,3,31)), U36/DDashboard!$C$4, AND(B36&gt;=DATE(2025,4,1), B36&lt;=DATE(2025,4,30)), U36/DDashboard!$C$5,AND(B36&gt;=DATE(2025,5,1), B36&lt;=DATE(2025,5,31)), U36/DDashboard!$C$6,AND(B36&gt;=DATE(2025,6,1), B36&lt;=DATE(2025,6,30)), U36/DDashboard!$C$7,AND(B36&gt;=DATE(2025,7,1), B36&lt;=DATE(2025,7,31)), U36/DDashboard!$C$8,AND(B36&gt;=DATE(2025,8,1), B36&lt;=DATE(2025,8,31)), U36/DDashboard!$C$9,AND(B36&gt;=DATE(2025,9,1), B36&lt;=DATE(2025,9,30)), U36/DDashboard!$C$10,AND(B36&gt;=DATE(2025,10,1), B36&lt;=DATE(2025,10,31)), U36/DDashboard!$C$11,AND(B36&gt;=DATE(2025,11,1), B36&lt;=DATE(2025,11,30)), U36/DDashboard!$C$12, AND(B36&gt;=DATE(2025,12,1), B36&lt;=DATE(2025,12,31)), U36/DDashboard!$C$13, True, "")
</f>
        <v>0.03685</v>
      </c>
      <c r="W36" s="201">
        <f t="shared" si="3"/>
        <v>0.05020352782</v>
      </c>
      <c r="X36" s="382">
        <v>796.0</v>
      </c>
      <c r="Y36" s="203">
        <v>50.0</v>
      </c>
      <c r="Z36" s="34">
        <v>45883.0</v>
      </c>
      <c r="AA36" s="202"/>
      <c r="AB36" s="203"/>
      <c r="AC36" s="372"/>
      <c r="AD36" s="205"/>
      <c r="AE36" s="203"/>
      <c r="AF36" s="204"/>
      <c r="AG36" s="206" t="str">
        <f t="shared" si="4"/>
        <v/>
      </c>
      <c r="AH36" s="196">
        <f t="shared" si="5"/>
        <v>50</v>
      </c>
      <c r="AI36" s="207">
        <f t="shared" si="24"/>
        <v>796</v>
      </c>
      <c r="AJ36" s="367">
        <f t="shared" si="7"/>
        <v>0.08005427408</v>
      </c>
      <c r="AK36" s="208">
        <f t="shared" si="25"/>
        <v>0</v>
      </c>
      <c r="AL36" s="207">
        <f t="shared" si="22"/>
        <v>1.594594595</v>
      </c>
      <c r="AM36" s="209">
        <f>IF(AN36="", "", IF(AN36="Closed", 
    IF(ISNUMBER(AF36), AF36-B36,
        IF(ISNUMBER(AC36), AC36-B36,
            IF(ISNUMBER(Z36), Z36-B36, "")
        )
    ), 
    TODAY()-B36))</f>
        <v>14</v>
      </c>
      <c r="AN36" s="62" t="str">
        <f t="shared" si="11"/>
        <v>Closed</v>
      </c>
      <c r="AO36" s="366">
        <f t="shared" si="12"/>
        <v>45883</v>
      </c>
      <c r="AP36" s="210">
        <f t="shared" si="13"/>
        <v>39800</v>
      </c>
      <c r="AQ36" s="196">
        <f t="shared" si="26"/>
        <v>2950</v>
      </c>
      <c r="AR36" s="168">
        <f>IFS(AND(B36&gt;=DATE(2025,1,1), B36&lt;=DATE(2025,1,31)), AQ36/DDashboard!$C$2, AND(B36&gt;=DATE(2025,2,1), B36&lt;=DATE(2025,2,28)), AQ36/DDashboard!$C$3, AND(B36&gt;=DATE(2025,3,1), B36&lt;=DATE(2025,3,31)), AQ36/DDashboard!$C$4, AND(B36&gt;=DATE(2025,4,1), B36&lt;=DATE(2025,4,30)), AQ36/DDashboard!$C$5,AND(B36&gt;=DATE(2025,5,1), B36&lt;=DATE(2025,5,31)), AQ36/DDashboard!$C$6,AND(B36&gt;=DATE(2025,6,1), B36&lt;=DATE(2025,6,30)), AQ36/DDashboard!$C$7,AND(B36&gt;=DATE(2025,7,1), B36&lt;=DATE(2025,7,31)), AQ36/DDashboard!$C$8,AND(B36&gt;=DATE(2025,8,1), B36&lt;=DATE(2025,8,31)), AQ36/DDashboard!$C$9,AND(B36&gt;=DATE(2025,9,1), B36&lt;=DATE(2025,9,30)), AQ36/DDashboard!$C$10,AND(B36&gt;=DATE(2025,10,1), B36&lt;=DATE(2025,10,31)), AQ36/DDashboard!$C$11,AND(B36&gt;=DATE(2025,11,1), B36&lt;=DATE(2025,11,30)), AQ36/DDashboard!$C$12, AND(B36&gt;=DATE(2025,12,1), B36&lt;=DATE(2025,12,31)), AQ36/DDashboard!$C$13, True, "")
</f>
        <v>0.00295</v>
      </c>
      <c r="AS36" s="200">
        <f t="array" ref="AS36">IF(ISBLANK(C36), "", SUM($AR$9:AR36)
)</f>
        <v>-0.16629622</v>
      </c>
      <c r="AT36" s="169" t="b">
        <v>0</v>
      </c>
      <c r="AU36" s="169" t="s">
        <v>101</v>
      </c>
      <c r="AV36" s="169"/>
      <c r="AW36" s="169"/>
      <c r="AX36" s="32"/>
    </row>
    <row r="37">
      <c r="A37" s="357">
        <v>36.0</v>
      </c>
      <c r="B37" s="232">
        <v>45869.0</v>
      </c>
      <c r="C37" s="139" t="s">
        <v>115</v>
      </c>
      <c r="D37" s="139"/>
      <c r="E37" s="141"/>
      <c r="F37" s="142">
        <v>422.6</v>
      </c>
      <c r="G37" s="189">
        <f t="shared" si="1"/>
        <v>422.6</v>
      </c>
      <c r="H37" s="144">
        <v>410.0</v>
      </c>
      <c r="I37" s="144"/>
      <c r="J37" s="141" t="s">
        <v>48</v>
      </c>
      <c r="K37" s="145">
        <f>IFERROR(__xludf.DUMMYFUNCTION("IF(ISBLANK(C37), """", GOOGLEFINANCE(""NSE:"" &amp; C37,""price""))"),440.2)</f>
        <v>440.2</v>
      </c>
      <c r="L37" s="146" t="s">
        <v>68</v>
      </c>
      <c r="M37" s="147" t="s">
        <v>89</v>
      </c>
      <c r="N37" s="148">
        <v>100.0</v>
      </c>
      <c r="O37" s="149"/>
      <c r="P37" s="150"/>
      <c r="Q37" s="377"/>
      <c r="R37" s="152"/>
      <c r="S37" s="150"/>
      <c r="T37" s="377"/>
      <c r="U37" s="153">
        <f t="shared" si="23"/>
        <v>42260</v>
      </c>
      <c r="V37" s="154">
        <f>IFS(AND(B37&gt;=DATE(2025,1,1), B37&lt;=DATE(2025,1,31)), U37/DDashboard!$C$2, AND(B37&gt;=DATE(2025,2,1), B37&lt;=DATE(2025,2,28)), U37/DDashboard!$C$3, AND(B37&gt;=DATE(2025,3,1), B37&lt;=DATE(2025,3,31)), U37/DDashboard!$C$4, AND(B37&gt;=DATE(2025,4,1), B37&lt;=DATE(2025,4,30)), U37/DDashboard!$C$5,AND(B37&gt;=DATE(2025,5,1), B37&lt;=DATE(2025,5,31)), U37/DDashboard!$C$6,AND(B37&gt;=DATE(2025,6,1), B37&lt;=DATE(2025,6,30)), U37/DDashboard!$C$7,AND(B37&gt;=DATE(2025,7,1), B37&lt;=DATE(2025,7,31)), U37/DDashboard!$C$8,AND(B37&gt;=DATE(2025,8,1), B37&lt;=DATE(2025,8,31)), U37/DDashboard!$C$9,AND(B37&gt;=DATE(2025,9,1), B37&lt;=DATE(2025,9,30)), U37/DDashboard!$C$10,AND(B37&gt;=DATE(2025,10,1), B37&lt;=DATE(2025,10,31)), U37/DDashboard!$C$11,AND(B37&gt;=DATE(2025,11,1), B37&lt;=DATE(2025,11,30)), U37/DDashboard!$C$12, AND(B37&gt;=DATE(2025,12,1), B37&lt;=DATE(2025,12,31)), U37/DDashboard!$C$13, True, "")
</f>
        <v>0.04226</v>
      </c>
      <c r="W37" s="65">
        <f t="shared" si="3"/>
        <v>0.0298154283</v>
      </c>
      <c r="X37" s="250">
        <v>432.0</v>
      </c>
      <c r="Y37" s="156">
        <v>100.0</v>
      </c>
      <c r="Z37" s="157">
        <v>45900.0</v>
      </c>
      <c r="AA37" s="155"/>
      <c r="AB37" s="156"/>
      <c r="AC37" s="375"/>
      <c r="AD37" s="159"/>
      <c r="AE37" s="156"/>
      <c r="AF37" s="158"/>
      <c r="AG37" s="160" t="str">
        <f t="shared" si="4"/>
        <v/>
      </c>
      <c r="AH37" s="150">
        <f t="shared" si="5"/>
        <v>100</v>
      </c>
      <c r="AI37" s="161">
        <f t="shared" si="24"/>
        <v>432</v>
      </c>
      <c r="AJ37" s="365">
        <f t="shared" si="7"/>
        <v>0.02224325603</v>
      </c>
      <c r="AK37" s="162">
        <f t="shared" si="25"/>
        <v>0</v>
      </c>
      <c r="AL37" s="161">
        <f t="shared" si="22"/>
        <v>0.746031746</v>
      </c>
      <c r="AM37" s="163">
        <f>IF(AN37="", "", IF(AN37="Closed", IF(ISNUMBER(AF37), AF37-B37,IF(ISNUMBER(AC37), AC37-B37,IF(ISNUMBER(Z37), Z37-B37, ""))), TODAY()-B37))
</f>
        <v>31</v>
      </c>
      <c r="AN37" s="62" t="str">
        <f t="shared" si="11"/>
        <v>Closed</v>
      </c>
      <c r="AO37" s="366">
        <f t="shared" si="12"/>
        <v>45900</v>
      </c>
      <c r="AP37" s="166">
        <f t="shared" si="13"/>
        <v>43200</v>
      </c>
      <c r="AQ37" s="167">
        <f t="shared" si="26"/>
        <v>940</v>
      </c>
      <c r="AR37" s="168">
        <f>IFS(AND(B37&gt;=DATE(2025,1,1), B37&lt;=DATE(2025,1,31)), AQ37/DDashboard!$C$2, AND(B37&gt;=DATE(2025,2,1), B37&lt;=DATE(2025,2,28)), AQ37/DDashboard!$C$3, AND(B37&gt;=DATE(2025,3,1), B37&lt;=DATE(2025,3,31)), AQ37/DDashboard!$C$4, AND(B37&gt;=DATE(2025,4,1), B37&lt;=DATE(2025,4,30)), AQ37/DDashboard!$C$5,AND(B37&gt;=DATE(2025,5,1), B37&lt;=DATE(2025,5,31)), AQ37/DDashboard!$C$6,AND(B37&gt;=DATE(2025,6,1), B37&lt;=DATE(2025,6,30)), AQ37/DDashboard!$C$7,AND(B37&gt;=DATE(2025,7,1), B37&lt;=DATE(2025,7,31)), AQ37/DDashboard!$C$8,AND(B37&gt;=DATE(2025,8,1), B37&lt;=DATE(2025,8,31)), AQ37/DDashboard!$C$9,AND(B37&gt;=DATE(2025,9,1), B37&lt;=DATE(2025,9,30)), AQ37/DDashboard!$C$10,AND(B37&gt;=DATE(2025,10,1), B37&lt;=DATE(2025,10,31)), AQ37/DDashboard!$C$11,AND(B37&gt;=DATE(2025,11,1), B37&lt;=DATE(2025,11,30)), AQ37/DDashboard!$C$12, AND(B37&gt;=DATE(2025,12,1), B37&lt;=DATE(2025,12,31)), AQ37/DDashboard!$C$13, True, "")
</f>
        <v>0.00094</v>
      </c>
      <c r="AS37" s="200">
        <f t="array" ref="AS37">IF(ISBLANK(C37), "", SUM($AR$9:AR37)
)</f>
        <v>-0.16535622</v>
      </c>
      <c r="AT37" s="169" t="b">
        <v>0</v>
      </c>
      <c r="AU37" s="169" t="s">
        <v>54</v>
      </c>
      <c r="AV37" s="169"/>
      <c r="AW37" s="169"/>
      <c r="AX37" s="383"/>
    </row>
    <row r="38">
      <c r="A38" s="361">
        <v>37.0</v>
      </c>
      <c r="B38" s="34">
        <v>45869.0</v>
      </c>
      <c r="C38" s="185" t="s">
        <v>116</v>
      </c>
      <c r="D38" s="185"/>
      <c r="E38" s="187"/>
      <c r="F38" s="188">
        <v>968.0</v>
      </c>
      <c r="G38" s="189">
        <f t="shared" si="1"/>
        <v>968</v>
      </c>
      <c r="H38" s="190">
        <v>920.0</v>
      </c>
      <c r="I38" s="190"/>
      <c r="J38" s="187" t="s">
        <v>48</v>
      </c>
      <c r="K38" s="145">
        <f>IF(ISBLANK(C38), "", 950)</f>
        <v>950</v>
      </c>
      <c r="L38" s="213" t="s">
        <v>49</v>
      </c>
      <c r="M38" s="193"/>
      <c r="N38" s="194">
        <v>150.0</v>
      </c>
      <c r="O38" s="195"/>
      <c r="P38" s="196"/>
      <c r="Q38" s="376"/>
      <c r="R38" s="198"/>
      <c r="S38" s="196"/>
      <c r="T38" s="376"/>
      <c r="U38" s="199">
        <f t="shared" si="23"/>
        <v>145200</v>
      </c>
      <c r="V38" s="200">
        <f>IFS(AND(B38&gt;=DATE(2025,1,1), B38&lt;=DATE(2025,1,31)), U38/DDashboard!$C$2, AND(B38&gt;=DATE(2025,2,1), B38&lt;=DATE(2025,2,28)), U38/DDashboard!$C$3, AND(B38&gt;=DATE(2025,3,1), B38&lt;=DATE(2025,3,31)), U38/DDashboard!$C$4, AND(B38&gt;=DATE(2025,4,1), B38&lt;=DATE(2025,4,30)), U38/DDashboard!$C$5,AND(B38&gt;=DATE(2025,5,1), B38&lt;=DATE(2025,5,31)), U38/DDashboard!$C$6,AND(B38&gt;=DATE(2025,6,1), B38&lt;=DATE(2025,6,30)), U38/DDashboard!$C$7,AND(B38&gt;=DATE(2025,7,1), B38&lt;=DATE(2025,7,31)), U38/DDashboard!$C$8,AND(B38&gt;=DATE(2025,8,1), B38&lt;=DATE(2025,8,31)), U38/DDashboard!$C$9,AND(B38&gt;=DATE(2025,9,1), B38&lt;=DATE(2025,9,30)), U38/DDashboard!$C$10,AND(B38&gt;=DATE(2025,10,1), B38&lt;=DATE(2025,10,31)), U38/DDashboard!$C$11,AND(B38&gt;=DATE(2025,11,1), B38&lt;=DATE(2025,11,30)), U38/DDashboard!$C$12, AND(B38&gt;=DATE(2025,12,1), B38&lt;=DATE(2025,12,31)), U38/DDashboard!$C$13, True, "")
</f>
        <v>0.1452</v>
      </c>
      <c r="W38" s="201">
        <f t="shared" si="3"/>
        <v>0.04958677686</v>
      </c>
      <c r="X38" s="128"/>
      <c r="Y38" s="203"/>
      <c r="Z38" s="384"/>
      <c r="AA38" s="202"/>
      <c r="AB38" s="203"/>
      <c r="AC38" s="204"/>
      <c r="AD38" s="205"/>
      <c r="AE38" s="203"/>
      <c r="AF38" s="204"/>
      <c r="AG38" s="136">
        <f t="shared" si="4"/>
        <v>150</v>
      </c>
      <c r="AH38" s="385" t="str">
        <f t="shared" si="5"/>
        <v/>
      </c>
      <c r="AI38" s="207">
        <f t="shared" si="24"/>
        <v>950</v>
      </c>
      <c r="AJ38" s="367">
        <f t="shared" si="7"/>
        <v>-0.01859504132</v>
      </c>
      <c r="AK38" s="208">
        <f t="shared" si="25"/>
        <v>7200</v>
      </c>
      <c r="AL38" s="207">
        <f t="shared" si="22"/>
        <v>-0.375</v>
      </c>
      <c r="AM38" s="209">
        <f>IF(AN38="", "", IF(AN38="Closed", 
    IF(ISNUMBER(AF38), AF38-B38,
        IF(ISNUMBER(AC38), AC38-B38,
            IF(ISNUMBER(Z38), Z38-B38, "")
        )
    ), 
    TODAY()-B38))</f>
        <v>264</v>
      </c>
      <c r="AN38" s="386">
        <f t="shared" si="11"/>
        <v>1</v>
      </c>
      <c r="AO38" s="366" t="str">
        <f t="shared" si="12"/>
        <v/>
      </c>
      <c r="AP38" s="210">
        <f t="shared" si="13"/>
        <v>0</v>
      </c>
      <c r="AQ38" s="196">
        <f t="shared" si="26"/>
        <v>-2700</v>
      </c>
      <c r="AR38" s="168">
        <f>IFS(AND(B38&gt;=DATE(2025,1,1), B38&lt;=DATE(2025,1,31)), AQ38/DDashboard!$C$2, AND(B38&gt;=DATE(2025,2,1), B38&lt;=DATE(2025,2,28)), AQ38/DDashboard!$C$3, AND(B38&gt;=DATE(2025,3,1), B38&lt;=DATE(2025,3,31)), AQ38/DDashboard!$C$4, AND(B38&gt;=DATE(2025,4,1), B38&lt;=DATE(2025,4,30)), AQ38/DDashboard!$C$5,AND(B38&gt;=DATE(2025,5,1), B38&lt;=DATE(2025,5,31)), AQ38/DDashboard!$C$6,AND(B38&gt;=DATE(2025,6,1), B38&lt;=DATE(2025,6,30)), AQ38/DDashboard!$C$7,AND(B38&gt;=DATE(2025,7,1), B38&lt;=DATE(2025,7,31)), AQ38/DDashboard!$C$8,AND(B38&gt;=DATE(2025,8,1), B38&lt;=DATE(2025,8,31)), AQ38/DDashboard!$C$9,AND(B38&gt;=DATE(2025,9,1), B38&lt;=DATE(2025,9,30)), AQ38/DDashboard!$C$10,AND(B38&gt;=DATE(2025,10,1), B38&lt;=DATE(2025,10,31)), AQ38/DDashboard!$C$11,AND(B38&gt;=DATE(2025,11,1), B38&lt;=DATE(2025,11,30)), AQ38/DDashboard!$C$12, AND(B38&gt;=DATE(2025,12,1), B38&lt;=DATE(2025,12,31)), AQ38/DDashboard!$C$13, True, "")
</f>
        <v>-0.0027</v>
      </c>
      <c r="AS38" s="200">
        <f t="array" ref="AS38">IF(ISBLANK(C38), "", SUM($AR$9:AR38)
)</f>
        <v>-0.16805622</v>
      </c>
      <c r="AT38" s="169" t="b">
        <v>0</v>
      </c>
      <c r="AU38" s="169"/>
      <c r="AV38" s="169"/>
      <c r="AW38" s="169"/>
      <c r="AX38" s="387"/>
    </row>
    <row r="39">
      <c r="A39" s="357">
        <v>38.0</v>
      </c>
      <c r="B39" s="232">
        <v>45870.0</v>
      </c>
      <c r="C39" s="139" t="s">
        <v>117</v>
      </c>
      <c r="D39" s="139"/>
      <c r="E39" s="141"/>
      <c r="F39" s="142">
        <v>692.0</v>
      </c>
      <c r="G39" s="189">
        <f t="shared" si="1"/>
        <v>692</v>
      </c>
      <c r="H39" s="144">
        <v>678.0</v>
      </c>
      <c r="I39" s="144"/>
      <c r="J39" s="141" t="s">
        <v>48</v>
      </c>
      <c r="K39" s="145">
        <f>IFERROR(__xludf.DUMMYFUNCTION("IF(ISBLANK(C39), """", GOOGLEFINANCE(""NSE:"" &amp; C39,""price""))"),653.0)</f>
        <v>653</v>
      </c>
      <c r="L39" s="146" t="s">
        <v>49</v>
      </c>
      <c r="M39" s="147"/>
      <c r="N39" s="148">
        <v>50.0</v>
      </c>
      <c r="O39" s="149"/>
      <c r="P39" s="150"/>
      <c r="Q39" s="377"/>
      <c r="R39" s="152"/>
      <c r="S39" s="150"/>
      <c r="T39" s="377"/>
      <c r="U39" s="153">
        <f t="shared" si="23"/>
        <v>34600</v>
      </c>
      <c r="V39" s="154">
        <f>IFS(AND(B39&gt;=DATE(2025,1,1), B39&lt;=DATE(2025,1,31)), U39/DDashboard!$C$2, AND(B39&gt;=DATE(2025,2,1), B39&lt;=DATE(2025,2,28)), U39/DDashboard!$C$3, AND(B39&gt;=DATE(2025,3,1), B39&lt;=DATE(2025,3,31)), U39/DDashboard!$C$4, AND(B39&gt;=DATE(2025,4,1), B39&lt;=DATE(2025,4,30)), U39/DDashboard!$C$5,AND(B39&gt;=DATE(2025,5,1), B39&lt;=DATE(2025,5,31)), U39/DDashboard!$C$6,AND(B39&gt;=DATE(2025,6,1), B39&lt;=DATE(2025,6,30)), U39/DDashboard!$C$7,AND(B39&gt;=DATE(2025,7,1), B39&lt;=DATE(2025,7,31)), U39/DDashboard!$C$8,AND(B39&gt;=DATE(2025,8,1), B39&lt;=DATE(2025,8,31)), U39/DDashboard!$C$9,AND(B39&gt;=DATE(2025,9,1), B39&lt;=DATE(2025,9,30)), U39/DDashboard!$C$10,AND(B39&gt;=DATE(2025,10,1), B39&lt;=DATE(2025,10,31)), U39/DDashboard!$C$11,AND(B39&gt;=DATE(2025,11,1), B39&lt;=DATE(2025,11,30)), U39/DDashboard!$C$12, AND(B39&gt;=DATE(2025,12,1), B39&lt;=DATE(2025,12,31)), U39/DDashboard!$C$13, True, "")
</f>
        <v>0.04144463145</v>
      </c>
      <c r="W39" s="65">
        <f t="shared" si="3"/>
        <v>0.02023121387</v>
      </c>
      <c r="X39" s="250">
        <v>677.0</v>
      </c>
      <c r="Y39" s="156">
        <v>50.0</v>
      </c>
      <c r="Z39" s="157">
        <v>45883.0</v>
      </c>
      <c r="AA39" s="155"/>
      <c r="AB39" s="156"/>
      <c r="AC39" s="158"/>
      <c r="AD39" s="159"/>
      <c r="AE39" s="156"/>
      <c r="AF39" s="158"/>
      <c r="AG39" s="160" t="str">
        <f t="shared" si="4"/>
        <v/>
      </c>
      <c r="AH39" s="150">
        <f t="shared" si="5"/>
        <v>50</v>
      </c>
      <c r="AI39" s="161">
        <f t="shared" si="24"/>
        <v>677</v>
      </c>
      <c r="AJ39" s="365">
        <f t="shared" si="7"/>
        <v>-0.02167630058</v>
      </c>
      <c r="AK39" s="162">
        <f t="shared" si="25"/>
        <v>0</v>
      </c>
      <c r="AL39" s="161">
        <f t="shared" si="22"/>
        <v>-1.071428571</v>
      </c>
      <c r="AM39" s="163">
        <f>IF(AN39="", "", IF(AN39="Closed", IF(ISNUMBER(AF39), AF39-B39,IF(ISNUMBER(AC39), AC39-B39,IF(ISNUMBER(Z39), Z39-B39, ""))), TODAY()-B39))
</f>
        <v>13</v>
      </c>
      <c r="AN39" s="62" t="str">
        <f t="shared" si="11"/>
        <v>Closed</v>
      </c>
      <c r="AO39" s="366">
        <f t="shared" si="12"/>
        <v>45883</v>
      </c>
      <c r="AP39" s="166">
        <f t="shared" si="13"/>
        <v>33850</v>
      </c>
      <c r="AQ39" s="167">
        <f t="shared" si="26"/>
        <v>-750</v>
      </c>
      <c r="AR39" s="168">
        <f>IFS(AND(B39&gt;=DATE(2025,1,1), B39&lt;=DATE(2025,1,31)), AQ39/DDashboard!$C$2, AND(B39&gt;=DATE(2025,2,1), B39&lt;=DATE(2025,2,28)), AQ39/DDashboard!$C$3, AND(B39&gt;=DATE(2025,3,1), B39&lt;=DATE(2025,3,31)), AQ39/DDashboard!$C$4, AND(B39&gt;=DATE(2025,4,1), B39&lt;=DATE(2025,4,30)), AQ39/DDashboard!$C$5,AND(B39&gt;=DATE(2025,5,1), B39&lt;=DATE(2025,5,31)), AQ39/DDashboard!$C$6,AND(B39&gt;=DATE(2025,6,1), B39&lt;=DATE(2025,6,30)), AQ39/DDashboard!$C$7,AND(B39&gt;=DATE(2025,7,1), B39&lt;=DATE(2025,7,31)), AQ39/DDashboard!$C$8,AND(B39&gt;=DATE(2025,8,1), B39&lt;=DATE(2025,8,31)), AQ39/DDashboard!$C$9,AND(B39&gt;=DATE(2025,9,1), B39&lt;=DATE(2025,9,30)), AQ39/DDashboard!$C$10,AND(B39&gt;=DATE(2025,10,1), B39&lt;=DATE(2025,10,31)), AQ39/DDashboard!$C$11,AND(B39&gt;=DATE(2025,11,1), B39&lt;=DATE(2025,11,30)), AQ39/DDashboard!$C$12, AND(B39&gt;=DATE(2025,12,1), B39&lt;=DATE(2025,12,31)), AQ39/DDashboard!$C$13, True, "")
</f>
        <v>-0.0008983662886</v>
      </c>
      <c r="AS39" s="200">
        <f t="array" ref="AS39">IF(ISBLANK(C39), "", SUM($AR$9:AR39)
)</f>
        <v>-0.1689545863</v>
      </c>
      <c r="AT39" s="169" t="b">
        <v>0</v>
      </c>
      <c r="AU39" s="169" t="s">
        <v>7</v>
      </c>
      <c r="AV39" s="169"/>
      <c r="AW39" s="169"/>
      <c r="AX39" s="383"/>
    </row>
    <row r="40">
      <c r="A40" s="388">
        <v>39.0</v>
      </c>
      <c r="B40" s="34">
        <v>45877.0</v>
      </c>
      <c r="C40" s="185" t="s">
        <v>118</v>
      </c>
      <c r="D40" s="185"/>
      <c r="E40" s="187"/>
      <c r="F40" s="188">
        <v>428.0</v>
      </c>
      <c r="G40" s="189">
        <f t="shared" si="1"/>
        <v>428</v>
      </c>
      <c r="H40" s="190">
        <v>420.0</v>
      </c>
      <c r="I40" s="190"/>
      <c r="J40" s="187" t="s">
        <v>48</v>
      </c>
      <c r="K40" s="145">
        <f>IFERROR(__xludf.DUMMYFUNCTION("IF(ISBLANK(C40), """", GOOGLEFINANCE(""NSE:"" &amp; C40,""price""))"),334.5)</f>
        <v>334.5</v>
      </c>
      <c r="L40" s="213" t="s">
        <v>68</v>
      </c>
      <c r="M40" s="193" t="s">
        <v>89</v>
      </c>
      <c r="N40" s="194">
        <v>100.0</v>
      </c>
      <c r="O40" s="195"/>
      <c r="P40" s="196"/>
      <c r="Q40" s="376"/>
      <c r="R40" s="198"/>
      <c r="S40" s="196"/>
      <c r="T40" s="376"/>
      <c r="U40" s="199">
        <f t="shared" si="23"/>
        <v>42800</v>
      </c>
      <c r="V40" s="200">
        <f>IFS(AND(B40&gt;=DATE(2025,1,1), B40&lt;=DATE(2025,1,31)), U40/DDashboard!$C$2, AND(B40&gt;=DATE(2025,2,1), B40&lt;=DATE(2025,2,28)), U40/DDashboard!$C$3, AND(B40&gt;=DATE(2025,3,1), B40&lt;=DATE(2025,3,31)), U40/DDashboard!$C$4, AND(B40&gt;=DATE(2025,4,1), B40&lt;=DATE(2025,4,30)), U40/DDashboard!$C$5,AND(B40&gt;=DATE(2025,5,1), B40&lt;=DATE(2025,5,31)), U40/DDashboard!$C$6,AND(B40&gt;=DATE(2025,6,1), B40&lt;=DATE(2025,6,30)), U40/DDashboard!$C$7,AND(B40&gt;=DATE(2025,7,1), B40&lt;=DATE(2025,7,31)), U40/DDashboard!$C$8,AND(B40&gt;=DATE(2025,8,1), B40&lt;=DATE(2025,8,31)), U40/DDashboard!$C$9,AND(B40&gt;=DATE(2025,9,1), B40&lt;=DATE(2025,9,30)), U40/DDashboard!$C$10,AND(B40&gt;=DATE(2025,10,1), B40&lt;=DATE(2025,10,31)), U40/DDashboard!$C$11,AND(B40&gt;=DATE(2025,11,1), B40&lt;=DATE(2025,11,30)), U40/DDashboard!$C$12, AND(B40&gt;=DATE(2025,12,1), B40&lt;=DATE(2025,12,31)), U40/DDashboard!$C$13, True, "")
</f>
        <v>0.05126676953</v>
      </c>
      <c r="W40" s="201">
        <f t="shared" si="3"/>
        <v>0.01869158879</v>
      </c>
      <c r="X40" s="128">
        <v>446.0</v>
      </c>
      <c r="Y40" s="203">
        <v>50.0</v>
      </c>
      <c r="Z40" s="34">
        <v>45870.0</v>
      </c>
      <c r="AA40" s="128">
        <v>455.0</v>
      </c>
      <c r="AB40" s="203">
        <v>50.0</v>
      </c>
      <c r="AC40" s="34">
        <v>45870.0</v>
      </c>
      <c r="AD40" s="205"/>
      <c r="AE40" s="203"/>
      <c r="AF40" s="204"/>
      <c r="AG40" s="206" t="str">
        <f t="shared" si="4"/>
        <v/>
      </c>
      <c r="AH40" s="196">
        <f t="shared" si="5"/>
        <v>100</v>
      </c>
      <c r="AI40" s="207">
        <f t="shared" si="24"/>
        <v>450.5</v>
      </c>
      <c r="AJ40" s="367">
        <f t="shared" si="7"/>
        <v>0.05257009346</v>
      </c>
      <c r="AK40" s="208">
        <f t="shared" si="25"/>
        <v>0</v>
      </c>
      <c r="AL40" s="207">
        <f t="shared" si="22"/>
        <v>2.8125</v>
      </c>
      <c r="AM40" s="209">
        <f>IF(AN40="", "", IF(AN40="Closed", 
    IF(ISNUMBER(AF40), AF40-B40,
        IF(ISNUMBER(AC40), AC40-B40,
            IF(ISNUMBER(Z40), Z40-B40, "")
        )
    ), 
    TODAY()-B40))</f>
        <v>-7</v>
      </c>
      <c r="AN40" s="62" t="str">
        <f t="shared" si="11"/>
        <v>Closed</v>
      </c>
      <c r="AO40" s="366">
        <f t="shared" si="12"/>
        <v>45870</v>
      </c>
      <c r="AP40" s="210">
        <f t="shared" si="13"/>
        <v>45050</v>
      </c>
      <c r="AQ40" s="196">
        <f t="shared" si="26"/>
        <v>2250</v>
      </c>
      <c r="AR40" s="168">
        <f>IFS(AND(B40&gt;=DATE(2025,1,1), B40&lt;=DATE(2025,1,31)), AQ40/DDashboard!$C$2, AND(B40&gt;=DATE(2025,2,1), B40&lt;=DATE(2025,2,28)), AQ40/DDashboard!$C$3, AND(B40&gt;=DATE(2025,3,1), B40&lt;=DATE(2025,3,31)), AQ40/DDashboard!$C$4, AND(B40&gt;=DATE(2025,4,1), B40&lt;=DATE(2025,4,30)), AQ40/DDashboard!$C$5,AND(B40&gt;=DATE(2025,5,1), B40&lt;=DATE(2025,5,31)), AQ40/DDashboard!$C$6,AND(B40&gt;=DATE(2025,6,1), B40&lt;=DATE(2025,6,30)), AQ40/DDashboard!$C$7,AND(B40&gt;=DATE(2025,7,1), B40&lt;=DATE(2025,7,31)), AQ40/DDashboard!$C$8,AND(B40&gt;=DATE(2025,8,1), B40&lt;=DATE(2025,8,31)), AQ40/DDashboard!$C$9,AND(B40&gt;=DATE(2025,9,1), B40&lt;=DATE(2025,9,30)), AQ40/DDashboard!$C$10,AND(B40&gt;=DATE(2025,10,1), B40&lt;=DATE(2025,10,31)), AQ40/DDashboard!$C$11,AND(B40&gt;=DATE(2025,11,1), B40&lt;=DATE(2025,11,30)), AQ40/DDashboard!$C$12, AND(B40&gt;=DATE(2025,12,1), B40&lt;=DATE(2025,12,31)), AQ40/DDashboard!$C$13, True, "")
</f>
        <v>0.002695098866</v>
      </c>
      <c r="AS40" s="200">
        <f t="array" ref="AS40">IF(ISBLANK(C40), "", SUM($AR$9:AR40)
)</f>
        <v>-0.1662594874</v>
      </c>
      <c r="AT40" s="169" t="b">
        <v>0</v>
      </c>
      <c r="AU40" s="169" t="s">
        <v>101</v>
      </c>
      <c r="AV40" s="169"/>
      <c r="AW40" s="169"/>
      <c r="AX40" s="387"/>
    </row>
    <row r="41">
      <c r="A41" s="389">
        <v>40.0</v>
      </c>
      <c r="B41" s="232">
        <v>45877.0</v>
      </c>
      <c r="C41" s="139" t="s">
        <v>119</v>
      </c>
      <c r="D41" s="139"/>
      <c r="E41" s="141"/>
      <c r="F41" s="142">
        <v>316.0</v>
      </c>
      <c r="G41" s="189">
        <f t="shared" si="1"/>
        <v>316</v>
      </c>
      <c r="H41" s="144">
        <v>310.0</v>
      </c>
      <c r="I41" s="144"/>
      <c r="J41" s="141" t="s">
        <v>48</v>
      </c>
      <c r="K41" s="145">
        <f>IFERROR(__xludf.DUMMYFUNCTION("IF(ISBLANK(C41), """", GOOGLEFINANCE(""NSE:"" &amp; C41,""price""))"),413.1)</f>
        <v>413.1</v>
      </c>
      <c r="L41" s="146" t="s">
        <v>68</v>
      </c>
      <c r="M41" s="147" t="s">
        <v>89</v>
      </c>
      <c r="N41" s="148">
        <v>100.0</v>
      </c>
      <c r="O41" s="225"/>
      <c r="P41" s="226"/>
      <c r="Q41" s="368"/>
      <c r="R41" s="152"/>
      <c r="S41" s="150"/>
      <c r="T41" s="377"/>
      <c r="U41" s="153">
        <f t="shared" si="23"/>
        <v>31600</v>
      </c>
      <c r="V41" s="154">
        <f>IFS(AND(B41&gt;=DATE(2025,1,1), B41&lt;=DATE(2025,1,31)), U41/DDashboard!$C$2, AND(B41&gt;=DATE(2025,2,1), B41&lt;=DATE(2025,2,28)), U41/DDashboard!$C$3, AND(B41&gt;=DATE(2025,3,1), B41&lt;=DATE(2025,3,31)), U41/DDashboard!$C$4, AND(B41&gt;=DATE(2025,4,1), B41&lt;=DATE(2025,4,30)), U41/DDashboard!$C$5,AND(B41&gt;=DATE(2025,5,1), B41&lt;=DATE(2025,5,31)), U41/DDashboard!$C$6,AND(B41&gt;=DATE(2025,6,1), B41&lt;=DATE(2025,6,30)), U41/DDashboard!$C$7,AND(B41&gt;=DATE(2025,7,1), B41&lt;=DATE(2025,7,31)), U41/DDashboard!$C$8,AND(B41&gt;=DATE(2025,8,1), B41&lt;=DATE(2025,8,31)), U41/DDashboard!$C$9,AND(B41&gt;=DATE(2025,9,1), B41&lt;=DATE(2025,9,30)), U41/DDashboard!$C$10,AND(B41&gt;=DATE(2025,10,1), B41&lt;=DATE(2025,10,31)), U41/DDashboard!$C$11,AND(B41&gt;=DATE(2025,11,1), B41&lt;=DATE(2025,11,30)), U41/DDashboard!$C$12, AND(B41&gt;=DATE(2025,12,1), B41&lt;=DATE(2025,12,31)), U41/DDashboard!$C$13, True, "")
</f>
        <v>0.03785116629</v>
      </c>
      <c r="W41" s="65">
        <f t="shared" si="3"/>
        <v>0.01898734177</v>
      </c>
      <c r="X41" s="250">
        <v>327.0</v>
      </c>
      <c r="Y41" s="156">
        <v>100.0</v>
      </c>
      <c r="Z41" s="157">
        <v>45870.0</v>
      </c>
      <c r="AA41" s="155"/>
      <c r="AB41" s="156"/>
      <c r="AC41" s="158"/>
      <c r="AD41" s="358"/>
      <c r="AE41" s="359"/>
      <c r="AF41" s="360"/>
      <c r="AG41" s="160" t="str">
        <f t="shared" si="4"/>
        <v/>
      </c>
      <c r="AH41" s="150">
        <f t="shared" si="5"/>
        <v>100</v>
      </c>
      <c r="AI41" s="161">
        <f t="shared" si="24"/>
        <v>327</v>
      </c>
      <c r="AJ41" s="365">
        <f t="shared" si="7"/>
        <v>0.03481012658</v>
      </c>
      <c r="AK41" s="162">
        <f t="shared" si="25"/>
        <v>0</v>
      </c>
      <c r="AL41" s="161">
        <f t="shared" si="22"/>
        <v>1.833333333</v>
      </c>
      <c r="AM41" s="163">
        <f>IF(AN41="", "", IF(AN41="Closed", IF(ISNUMBER(AF41), AF41-B41,IF(ISNUMBER(AC41), AC41-B41,IF(ISNUMBER(Z41), Z41-B41, ""))), TODAY()-B41))
</f>
        <v>-7</v>
      </c>
      <c r="AN41" s="62" t="str">
        <f t="shared" si="11"/>
        <v>Closed</v>
      </c>
      <c r="AO41" s="366">
        <f t="shared" si="12"/>
        <v>45870</v>
      </c>
      <c r="AP41" s="166">
        <f t="shared" si="13"/>
        <v>32700</v>
      </c>
      <c r="AQ41" s="167">
        <f t="shared" si="26"/>
        <v>1100</v>
      </c>
      <c r="AR41" s="168">
        <f>IFS(AND(B41&gt;=DATE(2025,1,1), B41&lt;=DATE(2025,1,31)), AQ41/DDashboard!$C$2, AND(B41&gt;=DATE(2025,2,1), B41&lt;=DATE(2025,2,28)), AQ41/DDashboard!$C$3, AND(B41&gt;=DATE(2025,3,1), B41&lt;=DATE(2025,3,31)), AQ41/DDashboard!$C$4, AND(B41&gt;=DATE(2025,4,1), B41&lt;=DATE(2025,4,30)), AQ41/DDashboard!$C$5,AND(B41&gt;=DATE(2025,5,1), B41&lt;=DATE(2025,5,31)), AQ41/DDashboard!$C$6,AND(B41&gt;=DATE(2025,6,1), B41&lt;=DATE(2025,6,30)), AQ41/DDashboard!$C$7,AND(B41&gt;=DATE(2025,7,1), B41&lt;=DATE(2025,7,31)), AQ41/DDashboard!$C$8,AND(B41&gt;=DATE(2025,8,1), B41&lt;=DATE(2025,8,31)), AQ41/DDashboard!$C$9,AND(B41&gt;=DATE(2025,9,1), B41&lt;=DATE(2025,9,30)), AQ41/DDashboard!$C$10,AND(B41&gt;=DATE(2025,10,1), B41&lt;=DATE(2025,10,31)), AQ41/DDashboard!$C$11,AND(B41&gt;=DATE(2025,11,1), B41&lt;=DATE(2025,11,30)), AQ41/DDashboard!$C$12, AND(B41&gt;=DATE(2025,12,1), B41&lt;=DATE(2025,12,31)), AQ41/DDashboard!$C$13, True, "")
</f>
        <v>0.00131760389</v>
      </c>
      <c r="AS41" s="200">
        <f t="array" ref="AS41">IF(ISBLANK(C41), "", SUM($AR$9:AR41)
)</f>
        <v>-0.1649418835</v>
      </c>
      <c r="AT41" s="169" t="b">
        <v>0</v>
      </c>
      <c r="AU41" s="169" t="s">
        <v>101</v>
      </c>
      <c r="AV41" s="169"/>
      <c r="AW41" s="169"/>
      <c r="AX41" s="183"/>
    </row>
    <row r="42">
      <c r="A42" s="388">
        <v>41.0</v>
      </c>
      <c r="B42" s="34">
        <v>45880.0</v>
      </c>
      <c r="C42" s="185" t="s">
        <v>120</v>
      </c>
      <c r="D42" s="185"/>
      <c r="E42" s="187"/>
      <c r="F42" s="188">
        <v>83.9</v>
      </c>
      <c r="G42" s="189">
        <f t="shared" si="1"/>
        <v>83.9</v>
      </c>
      <c r="H42" s="190">
        <v>83.0</v>
      </c>
      <c r="I42" s="190"/>
      <c r="J42" s="187" t="s">
        <v>48</v>
      </c>
      <c r="K42" s="145">
        <f>IFERROR(__xludf.DUMMYFUNCTION("IF(ISBLANK(C42), """", GOOGLEFINANCE(""NSE:"" &amp; C42,""price""))"),97.2)</f>
        <v>97.2</v>
      </c>
      <c r="L42" s="213" t="s">
        <v>81</v>
      </c>
      <c r="M42" s="193"/>
      <c r="N42" s="194">
        <v>1000.0</v>
      </c>
      <c r="O42" s="205"/>
      <c r="P42" s="228"/>
      <c r="Q42" s="370"/>
      <c r="R42" s="202"/>
      <c r="S42" s="228"/>
      <c r="T42" s="229"/>
      <c r="U42" s="199">
        <f t="shared" si="23"/>
        <v>83900</v>
      </c>
      <c r="V42" s="200">
        <f>IFS(AND(B42&gt;=DATE(2025,1,1), B42&lt;=DATE(2025,1,31)), U42/DDashboard!$C$2, AND(B42&gt;=DATE(2025,2,1), B42&lt;=DATE(2025,2,28)), U42/DDashboard!$C$3, AND(B42&gt;=DATE(2025,3,1), B42&lt;=DATE(2025,3,31)), U42/DDashboard!$C$4, AND(B42&gt;=DATE(2025,4,1), B42&lt;=DATE(2025,4,30)), U42/DDashboard!$C$5,AND(B42&gt;=DATE(2025,5,1), B42&lt;=DATE(2025,5,31)), U42/DDashboard!$C$6,AND(B42&gt;=DATE(2025,6,1), B42&lt;=DATE(2025,6,30)), U42/DDashboard!$C$7,AND(B42&gt;=DATE(2025,7,1), B42&lt;=DATE(2025,7,31)), U42/DDashboard!$C$8,AND(B42&gt;=DATE(2025,8,1), B42&lt;=DATE(2025,8,31)), U42/DDashboard!$C$9,AND(B42&gt;=DATE(2025,9,1), B42&lt;=DATE(2025,9,30)), U42/DDashboard!$C$10,AND(B42&gt;=DATE(2025,10,1), B42&lt;=DATE(2025,10,31)), U42/DDashboard!$C$11,AND(B42&gt;=DATE(2025,11,1), B42&lt;=DATE(2025,11,30)), U42/DDashboard!$C$12, AND(B42&gt;=DATE(2025,12,1), B42&lt;=DATE(2025,12,31)), U42/DDashboard!$C$13, True, "")
</f>
        <v>0.1004972421</v>
      </c>
      <c r="W42" s="201">
        <f t="shared" si="3"/>
        <v>0.01072705602</v>
      </c>
      <c r="X42" s="128">
        <v>85.4</v>
      </c>
      <c r="Y42" s="203">
        <v>1000.0</v>
      </c>
      <c r="Z42" s="34">
        <v>45883.0</v>
      </c>
      <c r="AA42" s="202"/>
      <c r="AB42" s="203"/>
      <c r="AC42" s="204"/>
      <c r="AD42" s="205"/>
      <c r="AE42" s="203"/>
      <c r="AF42" s="372"/>
      <c r="AG42" s="206" t="str">
        <f t="shared" si="4"/>
        <v/>
      </c>
      <c r="AH42" s="196">
        <f t="shared" si="5"/>
        <v>1000</v>
      </c>
      <c r="AI42" s="207">
        <f t="shared" si="24"/>
        <v>85.4</v>
      </c>
      <c r="AJ42" s="367">
        <f t="shared" si="7"/>
        <v>0.0178784267</v>
      </c>
      <c r="AK42" s="208">
        <f t="shared" si="25"/>
        <v>0</v>
      </c>
      <c r="AL42" s="207">
        <f t="shared" si="22"/>
        <v>1.666666667</v>
      </c>
      <c r="AM42" s="209">
        <f>IF(AN42="", "", IF(AN42="Closed", 
    IF(ISNUMBER(AF42), AF42-B42,
        IF(ISNUMBER(AC42), AC42-B42,
            IF(ISNUMBER(Z42), Z42-B42, "")
        )
    ), 
    TODAY()-B42))</f>
        <v>3</v>
      </c>
      <c r="AN42" s="62" t="str">
        <f t="shared" si="11"/>
        <v>Closed</v>
      </c>
      <c r="AO42" s="366">
        <f t="shared" si="12"/>
        <v>45883</v>
      </c>
      <c r="AP42" s="210">
        <f t="shared" si="13"/>
        <v>85400</v>
      </c>
      <c r="AQ42" s="196">
        <f t="shared" si="26"/>
        <v>1500</v>
      </c>
      <c r="AR42" s="168">
        <f>IFS(AND(B42&gt;=DATE(2025,1,1), B42&lt;=DATE(2025,1,31)), AQ42/DDashboard!$C$2, AND(B42&gt;=DATE(2025,2,1), B42&lt;=DATE(2025,2,28)), AQ42/DDashboard!$C$3, AND(B42&gt;=DATE(2025,3,1), B42&lt;=DATE(2025,3,31)), AQ42/DDashboard!$C$4, AND(B42&gt;=DATE(2025,4,1), B42&lt;=DATE(2025,4,30)), AQ42/DDashboard!$C$5,AND(B42&gt;=DATE(2025,5,1), B42&lt;=DATE(2025,5,31)), AQ42/DDashboard!$C$6,AND(B42&gt;=DATE(2025,6,1), B42&lt;=DATE(2025,6,30)), AQ42/DDashboard!$C$7,AND(B42&gt;=DATE(2025,7,1), B42&lt;=DATE(2025,7,31)), AQ42/DDashboard!$C$8,AND(B42&gt;=DATE(2025,8,1), B42&lt;=DATE(2025,8,31)), AQ42/DDashboard!$C$9,AND(B42&gt;=DATE(2025,9,1), B42&lt;=DATE(2025,9,30)), AQ42/DDashboard!$C$10,AND(B42&gt;=DATE(2025,10,1), B42&lt;=DATE(2025,10,31)), AQ42/DDashboard!$C$11,AND(B42&gt;=DATE(2025,11,1), B42&lt;=DATE(2025,11,30)), AQ42/DDashboard!$C$12, AND(B42&gt;=DATE(2025,12,1), B42&lt;=DATE(2025,12,31)), AQ42/DDashboard!$C$13, True, "")
</f>
        <v>0.001796732577</v>
      </c>
      <c r="AS42" s="200">
        <f t="array" ref="AS42">IF(ISBLANK(C42), "", SUM($AR$9:AR42)
)</f>
        <v>-0.163145151</v>
      </c>
      <c r="AT42" s="169" t="b">
        <v>0</v>
      </c>
      <c r="AU42" s="169" t="s">
        <v>121</v>
      </c>
      <c r="AV42" s="169"/>
      <c r="AW42" s="169"/>
      <c r="AX42" s="32"/>
    </row>
    <row r="43">
      <c r="A43" s="389">
        <v>42.0</v>
      </c>
      <c r="B43" s="232">
        <v>45880.0</v>
      </c>
      <c r="C43" s="139" t="s">
        <v>122</v>
      </c>
      <c r="D43" s="139"/>
      <c r="E43" s="141"/>
      <c r="F43" s="142">
        <v>677.0</v>
      </c>
      <c r="G43" s="189">
        <f t="shared" si="1"/>
        <v>677</v>
      </c>
      <c r="H43" s="144">
        <v>670.0</v>
      </c>
      <c r="I43" s="144"/>
      <c r="J43" s="141" t="s">
        <v>48</v>
      </c>
      <c r="K43" s="145">
        <f>IFERROR(__xludf.DUMMYFUNCTION("IF(ISBLANK(C43), """", GOOGLEFINANCE(""NSE:"" &amp; C43,""price""))"),782.7)</f>
        <v>782.7</v>
      </c>
      <c r="L43" s="146" t="s">
        <v>49</v>
      </c>
      <c r="M43" s="147"/>
      <c r="N43" s="148">
        <v>20.0</v>
      </c>
      <c r="O43" s="225"/>
      <c r="P43" s="226"/>
      <c r="Q43" s="368"/>
      <c r="R43" s="152"/>
      <c r="S43" s="150"/>
      <c r="T43" s="377"/>
      <c r="U43" s="153">
        <f t="shared" si="23"/>
        <v>13540</v>
      </c>
      <c r="V43" s="154">
        <f>IFS(AND(B43&gt;=DATE(2025,1,1), B43&lt;=DATE(2025,1,31)), U43/DDashboard!$C$2, AND(B43&gt;=DATE(2025,2,1), B43&lt;=DATE(2025,2,28)), U43/DDashboard!$C$3, AND(B43&gt;=DATE(2025,3,1), B43&lt;=DATE(2025,3,31)), U43/DDashboard!$C$4, AND(B43&gt;=DATE(2025,4,1), B43&lt;=DATE(2025,4,30)), U43/DDashboard!$C$5,AND(B43&gt;=DATE(2025,5,1), B43&lt;=DATE(2025,5,31)), U43/DDashboard!$C$6,AND(B43&gt;=DATE(2025,6,1), B43&lt;=DATE(2025,6,30)), U43/DDashboard!$C$7,AND(B43&gt;=DATE(2025,7,1), B43&lt;=DATE(2025,7,31)), U43/DDashboard!$C$8,AND(B43&gt;=DATE(2025,8,1), B43&lt;=DATE(2025,8,31)), U43/DDashboard!$C$9,AND(B43&gt;=DATE(2025,9,1), B43&lt;=DATE(2025,9,30)), U43/DDashboard!$C$10,AND(B43&gt;=DATE(2025,10,1), B43&lt;=DATE(2025,10,31)), U43/DDashboard!$C$11,AND(B43&gt;=DATE(2025,11,1), B43&lt;=DATE(2025,11,30)), U43/DDashboard!$C$12, AND(B43&gt;=DATE(2025,12,1), B43&lt;=DATE(2025,12,31)), U43/DDashboard!$C$13, True, "")
</f>
        <v>0.01621850606</v>
      </c>
      <c r="W43" s="65">
        <f t="shared" si="3"/>
        <v>0.01033973412</v>
      </c>
      <c r="X43" s="250">
        <v>672.0</v>
      </c>
      <c r="Y43" s="156">
        <v>20.0</v>
      </c>
      <c r="Z43" s="157">
        <v>45880.0</v>
      </c>
      <c r="AA43" s="155"/>
      <c r="AB43" s="156"/>
      <c r="AC43" s="158"/>
      <c r="AD43" s="358"/>
      <c r="AE43" s="359"/>
      <c r="AF43" s="360"/>
      <c r="AG43" s="160" t="str">
        <f t="shared" si="4"/>
        <v/>
      </c>
      <c r="AH43" s="150">
        <f t="shared" si="5"/>
        <v>20</v>
      </c>
      <c r="AI43" s="161">
        <f t="shared" si="24"/>
        <v>672</v>
      </c>
      <c r="AJ43" s="365">
        <f t="shared" si="7"/>
        <v>-0.007385524372</v>
      </c>
      <c r="AK43" s="162">
        <f t="shared" si="25"/>
        <v>0</v>
      </c>
      <c r="AL43" s="161">
        <f t="shared" si="22"/>
        <v>-0.7142857143</v>
      </c>
      <c r="AM43" s="163">
        <f>IF(AN43="", "", IF(AN43="Closed", IF(ISNUMBER(AF43), AF43-B43,IF(ISNUMBER(AC43), AC43-B43,IF(ISNUMBER(Z43), Z43-B43, ""))), TODAY()-B43))
</f>
        <v>0</v>
      </c>
      <c r="AN43" s="62" t="str">
        <f t="shared" si="11"/>
        <v>Closed</v>
      </c>
      <c r="AO43" s="366">
        <f t="shared" si="12"/>
        <v>45880</v>
      </c>
      <c r="AP43" s="166">
        <f t="shared" si="13"/>
        <v>13440</v>
      </c>
      <c r="AQ43" s="167">
        <f t="shared" si="26"/>
        <v>-100</v>
      </c>
      <c r="AR43" s="168">
        <f>IFS(AND(B43&gt;=DATE(2025,1,1), B43&lt;=DATE(2025,1,31)), AQ43/DDashboard!$C$2, AND(B43&gt;=DATE(2025,2,1), B43&lt;=DATE(2025,2,28)), AQ43/DDashboard!$C$3, AND(B43&gt;=DATE(2025,3,1), B43&lt;=DATE(2025,3,31)), AQ43/DDashboard!$C$4, AND(B43&gt;=DATE(2025,4,1), B43&lt;=DATE(2025,4,30)), AQ43/DDashboard!$C$5,AND(B43&gt;=DATE(2025,5,1), B43&lt;=DATE(2025,5,31)), AQ43/DDashboard!$C$6,AND(B43&gt;=DATE(2025,6,1), B43&lt;=DATE(2025,6,30)), AQ43/DDashboard!$C$7,AND(B43&gt;=DATE(2025,7,1), B43&lt;=DATE(2025,7,31)), AQ43/DDashboard!$C$8,AND(B43&gt;=DATE(2025,8,1), B43&lt;=DATE(2025,8,31)), AQ43/DDashboard!$C$9,AND(B43&gt;=DATE(2025,9,1), B43&lt;=DATE(2025,9,30)), AQ43/DDashboard!$C$10,AND(B43&gt;=DATE(2025,10,1), B43&lt;=DATE(2025,10,31)), AQ43/DDashboard!$C$11,AND(B43&gt;=DATE(2025,11,1), B43&lt;=DATE(2025,11,30)), AQ43/DDashboard!$C$12, AND(B43&gt;=DATE(2025,12,1), B43&lt;=DATE(2025,12,31)), AQ43/DDashboard!$C$13, True, "")
</f>
        <v>-0.0001197821718</v>
      </c>
      <c r="AS43" s="200">
        <f t="array" ref="AS43">IF(ISBLANK(C43), "", SUM($AR$9:AR43)
)</f>
        <v>-0.1632649331</v>
      </c>
      <c r="AT43" s="169" t="b">
        <v>0</v>
      </c>
      <c r="AU43" s="169" t="s">
        <v>7</v>
      </c>
      <c r="AV43" s="169"/>
      <c r="AW43" s="169"/>
      <c r="AX43" s="183"/>
    </row>
    <row r="44">
      <c r="A44" s="388">
        <v>43.0</v>
      </c>
      <c r="B44" s="34">
        <v>45882.0</v>
      </c>
      <c r="C44" s="185">
        <v>539195.0</v>
      </c>
      <c r="D44" s="185" t="s">
        <v>123</v>
      </c>
      <c r="E44" s="187"/>
      <c r="F44" s="188">
        <v>270.0</v>
      </c>
      <c r="G44" s="189">
        <f t="shared" si="1"/>
        <v>270</v>
      </c>
      <c r="H44" s="190">
        <v>260.0</v>
      </c>
      <c r="I44" s="190"/>
      <c r="J44" s="187" t="s">
        <v>48</v>
      </c>
      <c r="K44" s="145">
        <f>IFERROR(__xludf.DUMMYFUNCTION("IF(ISBLANK(C44), """", GOOGLEFINANCE(""BOM:"" &amp; C44,""price""))"),186.0)</f>
        <v>186</v>
      </c>
      <c r="L44" s="213" t="s">
        <v>49</v>
      </c>
      <c r="M44" s="193"/>
      <c r="N44" s="194">
        <v>137.0</v>
      </c>
      <c r="O44" s="195"/>
      <c r="P44" s="196"/>
      <c r="Q44" s="376"/>
      <c r="R44" s="198"/>
      <c r="S44" s="196"/>
      <c r="T44" s="376"/>
      <c r="U44" s="199">
        <f t="shared" si="23"/>
        <v>36990</v>
      </c>
      <c r="V44" s="200">
        <f>IFS(AND(B44&gt;=DATE(2025,1,1), B44&lt;=DATE(2025,1,31)), U44/DDashboard!$C$2, AND(B44&gt;=DATE(2025,2,1), B44&lt;=DATE(2025,2,28)), U44/DDashboard!$C$3, AND(B44&gt;=DATE(2025,3,1), B44&lt;=DATE(2025,3,31)), U44/DDashboard!$C$4, AND(B44&gt;=DATE(2025,4,1), B44&lt;=DATE(2025,4,30)), U44/DDashboard!$C$5,AND(B44&gt;=DATE(2025,5,1), B44&lt;=DATE(2025,5,31)), U44/DDashboard!$C$6,AND(B44&gt;=DATE(2025,6,1), B44&lt;=DATE(2025,6,30)), U44/DDashboard!$C$7,AND(B44&gt;=DATE(2025,7,1), B44&lt;=DATE(2025,7,31)), U44/DDashboard!$C$8,AND(B44&gt;=DATE(2025,8,1), B44&lt;=DATE(2025,8,31)), U44/DDashboard!$C$9,AND(B44&gt;=DATE(2025,9,1), B44&lt;=DATE(2025,9,30)), U44/DDashboard!$C$10,AND(B44&gt;=DATE(2025,10,1), B44&lt;=DATE(2025,10,31)), U44/DDashboard!$C$11,AND(B44&gt;=DATE(2025,11,1), B44&lt;=DATE(2025,11,30)), U44/DDashboard!$C$12, AND(B44&gt;=DATE(2025,12,1), B44&lt;=DATE(2025,12,31)), U44/DDashboard!$C$13, True, "")
</f>
        <v>0.04430742535</v>
      </c>
      <c r="W44" s="201">
        <f t="shared" si="3"/>
        <v>0.03703703704</v>
      </c>
      <c r="X44" s="128"/>
      <c r="Y44" s="203"/>
      <c r="Z44" s="384"/>
      <c r="AA44" s="202"/>
      <c r="AB44" s="203"/>
      <c r="AC44" s="204"/>
      <c r="AD44" s="195"/>
      <c r="AE44" s="222"/>
      <c r="AF44" s="223"/>
      <c r="AG44" s="136">
        <f t="shared" si="4"/>
        <v>137</v>
      </c>
      <c r="AH44" s="385" t="str">
        <f t="shared" si="5"/>
        <v/>
      </c>
      <c r="AI44" s="207">
        <f t="shared" si="24"/>
        <v>186</v>
      </c>
      <c r="AJ44" s="367">
        <f t="shared" si="7"/>
        <v>-0.3111111111</v>
      </c>
      <c r="AK44" s="208">
        <f t="shared" si="25"/>
        <v>1370</v>
      </c>
      <c r="AL44" s="207">
        <f t="shared" si="22"/>
        <v>-8.4</v>
      </c>
      <c r="AM44" s="209">
        <f>IF(AN44="", "", IF(AN44="Closed", 
    IF(ISNUMBER(AF44), AF44-B44,
        IF(ISNUMBER(AC44), AC44-B44,
            IF(ISNUMBER(Z44), Z44-B44, "")
        )
    ), 
    TODAY()-B44))</f>
        <v>251</v>
      </c>
      <c r="AN44" s="386">
        <f t="shared" si="11"/>
        <v>1</v>
      </c>
      <c r="AO44" s="366" t="str">
        <f t="shared" si="12"/>
        <v/>
      </c>
      <c r="AP44" s="210">
        <f t="shared" si="13"/>
        <v>0</v>
      </c>
      <c r="AQ44" s="196" t="str">
        <f t="shared" si="26"/>
        <v/>
      </c>
      <c r="AR44" s="168">
        <f>IFS(AND(B44&gt;=DATE(2025,1,1), B44&lt;=DATE(2025,1,31)), AQ44/DDashboard!$C$2, AND(B44&gt;=DATE(2025,2,1), B44&lt;=DATE(2025,2,28)), AQ44/DDashboard!$C$3, AND(B44&gt;=DATE(2025,3,1), B44&lt;=DATE(2025,3,31)), AQ44/DDashboard!$C$4, AND(B44&gt;=DATE(2025,4,1), B44&lt;=DATE(2025,4,30)), AQ44/DDashboard!$C$5,AND(B44&gt;=DATE(2025,5,1), B44&lt;=DATE(2025,5,31)), AQ44/DDashboard!$C$6,AND(B44&gt;=DATE(2025,6,1), B44&lt;=DATE(2025,6,30)), AQ44/DDashboard!$C$7,AND(B44&gt;=DATE(2025,7,1), B44&lt;=DATE(2025,7,31)), AQ44/DDashboard!$C$8,AND(B44&gt;=DATE(2025,8,1), B44&lt;=DATE(2025,8,31)), AQ44/DDashboard!$C$9,AND(B44&gt;=DATE(2025,9,1), B44&lt;=DATE(2025,9,30)), AQ44/DDashboard!$C$10,AND(B44&gt;=DATE(2025,10,1), B44&lt;=DATE(2025,10,31)), AQ44/DDashboard!$C$11,AND(B44&gt;=DATE(2025,11,1), B44&lt;=DATE(2025,11,30)), AQ44/DDashboard!$C$12, AND(B44&gt;=DATE(2025,12,1), B44&lt;=DATE(2025,12,31)), AQ44/DDashboard!$C$13, True, "")
</f>
        <v>0</v>
      </c>
      <c r="AS44" s="200">
        <f t="array" ref="AS44">IF(ISBLANK(C44), "", SUM($AR$9:AR44)
)</f>
        <v>-0.1632649331</v>
      </c>
      <c r="AT44" s="169" t="b">
        <v>0</v>
      </c>
      <c r="AU44" s="169"/>
      <c r="AV44" s="169"/>
      <c r="AW44" s="169"/>
      <c r="AX44" s="32"/>
    </row>
    <row r="45">
      <c r="A45" s="389">
        <v>44.0</v>
      </c>
      <c r="B45" s="232">
        <v>45882.0</v>
      </c>
      <c r="C45" s="139" t="s">
        <v>108</v>
      </c>
      <c r="D45" s="139"/>
      <c r="E45" s="141"/>
      <c r="F45" s="142">
        <v>1037.0</v>
      </c>
      <c r="G45" s="189">
        <f t="shared" si="1"/>
        <v>1037</v>
      </c>
      <c r="H45" s="144">
        <v>1030.0</v>
      </c>
      <c r="I45" s="144"/>
      <c r="J45" s="141" t="s">
        <v>48</v>
      </c>
      <c r="K45" s="145">
        <f>IFERROR(__xludf.DUMMYFUNCTION("IF(ISBLANK(C45), """", GOOGLEFINANCE(""NSE:"" &amp; C45,""price""))"),1182.9)</f>
        <v>1182.9</v>
      </c>
      <c r="L45" s="146" t="s">
        <v>77</v>
      </c>
      <c r="M45" s="147"/>
      <c r="N45" s="148">
        <v>50.0</v>
      </c>
      <c r="O45" s="149"/>
      <c r="P45" s="150"/>
      <c r="Q45" s="377"/>
      <c r="R45" s="152"/>
      <c r="S45" s="150"/>
      <c r="T45" s="377"/>
      <c r="U45" s="153">
        <f t="shared" si="23"/>
        <v>51850</v>
      </c>
      <c r="V45" s="154">
        <f>IFS(AND(B45&gt;=DATE(2025,1,1), B45&lt;=DATE(2025,1,31)), U45/DDashboard!$C$2, AND(B45&gt;=DATE(2025,2,1), B45&lt;=DATE(2025,2,28)), U45/DDashboard!$C$3, AND(B45&gt;=DATE(2025,3,1), B45&lt;=DATE(2025,3,31)), U45/DDashboard!$C$4, AND(B45&gt;=DATE(2025,4,1), B45&lt;=DATE(2025,4,30)), U45/DDashboard!$C$5,AND(B45&gt;=DATE(2025,5,1), B45&lt;=DATE(2025,5,31)), U45/DDashboard!$C$6,AND(B45&gt;=DATE(2025,6,1), B45&lt;=DATE(2025,6,30)), U45/DDashboard!$C$7,AND(B45&gt;=DATE(2025,7,1), B45&lt;=DATE(2025,7,31)), U45/DDashboard!$C$8,AND(B45&gt;=DATE(2025,8,1), B45&lt;=DATE(2025,8,31)), U45/DDashboard!$C$9,AND(B45&gt;=DATE(2025,9,1), B45&lt;=DATE(2025,9,30)), U45/DDashboard!$C$10,AND(B45&gt;=DATE(2025,10,1), B45&lt;=DATE(2025,10,31)), U45/DDashboard!$C$11,AND(B45&gt;=DATE(2025,11,1), B45&lt;=DATE(2025,11,30)), U45/DDashboard!$C$12, AND(B45&gt;=DATE(2025,12,1), B45&lt;=DATE(2025,12,31)), U45/DDashboard!$C$13, True, "")
</f>
        <v>0.06210705608</v>
      </c>
      <c r="W45" s="65">
        <f t="shared" si="3"/>
        <v>0.00675024108</v>
      </c>
      <c r="X45" s="250">
        <v>1038.0</v>
      </c>
      <c r="Y45" s="156">
        <v>50.0</v>
      </c>
      <c r="Z45" s="157">
        <v>45889.0</v>
      </c>
      <c r="AA45" s="390"/>
      <c r="AB45" s="359"/>
      <c r="AC45" s="360"/>
      <c r="AD45" s="358"/>
      <c r="AE45" s="359"/>
      <c r="AF45" s="360"/>
      <c r="AG45" s="160" t="str">
        <f t="shared" si="4"/>
        <v/>
      </c>
      <c r="AH45" s="150">
        <f t="shared" si="5"/>
        <v>50</v>
      </c>
      <c r="AI45" s="161">
        <f t="shared" si="24"/>
        <v>1038</v>
      </c>
      <c r="AJ45" s="365">
        <f t="shared" si="7"/>
        <v>0.0009643201543</v>
      </c>
      <c r="AK45" s="162">
        <f t="shared" si="25"/>
        <v>0</v>
      </c>
      <c r="AL45" s="161">
        <f t="shared" si="22"/>
        <v>0.1428571429</v>
      </c>
      <c r="AM45" s="163">
        <f>IF(AN45="", "", IF(AN45="Closed", IF(ISNUMBER(AF45), AF45-B45,IF(ISNUMBER(AC45), AC45-B45,IF(ISNUMBER(Z45), Z45-B45, ""))), TODAY()-B45))
</f>
        <v>7</v>
      </c>
      <c r="AN45" s="381" t="str">
        <f t="shared" si="11"/>
        <v>Closed</v>
      </c>
      <c r="AO45" s="366">
        <f t="shared" si="12"/>
        <v>45889</v>
      </c>
      <c r="AP45" s="166">
        <f t="shared" si="13"/>
        <v>51900</v>
      </c>
      <c r="AQ45" s="167">
        <f t="shared" si="26"/>
        <v>50</v>
      </c>
      <c r="AR45" s="168">
        <f>IFS(AND(B45&gt;=DATE(2025,1,1), B45&lt;=DATE(2025,1,31)), AQ45/DDashboard!$C$2, AND(B45&gt;=DATE(2025,2,1), B45&lt;=DATE(2025,2,28)), AQ45/DDashboard!$C$3, AND(B45&gt;=DATE(2025,3,1), B45&lt;=DATE(2025,3,31)), AQ45/DDashboard!$C$4, AND(B45&gt;=DATE(2025,4,1), B45&lt;=DATE(2025,4,30)), AQ45/DDashboard!$C$5,AND(B45&gt;=DATE(2025,5,1), B45&lt;=DATE(2025,5,31)), AQ45/DDashboard!$C$6,AND(B45&gt;=DATE(2025,6,1), B45&lt;=DATE(2025,6,30)), AQ45/DDashboard!$C$7,AND(B45&gt;=DATE(2025,7,1), B45&lt;=DATE(2025,7,31)), AQ45/DDashboard!$C$8,AND(B45&gt;=DATE(2025,8,1), B45&lt;=DATE(2025,8,31)), AQ45/DDashboard!$C$9,AND(B45&gt;=DATE(2025,9,1), B45&lt;=DATE(2025,9,30)), AQ45/DDashboard!$C$10,AND(B45&gt;=DATE(2025,10,1), B45&lt;=DATE(2025,10,31)), AQ45/DDashboard!$C$11,AND(B45&gt;=DATE(2025,11,1), B45&lt;=DATE(2025,11,30)), AQ45/DDashboard!$C$12, AND(B45&gt;=DATE(2025,12,1), B45&lt;=DATE(2025,12,31)), AQ45/DDashboard!$C$13, True, "")
</f>
        <v>0.0000598910859</v>
      </c>
      <c r="AS45" s="200">
        <f t="array" ref="AS45">IF(ISBLANK(C45), "", SUM($AR$9:AR45)
)</f>
        <v>-0.163205042</v>
      </c>
      <c r="AT45" s="169" t="b">
        <v>0</v>
      </c>
      <c r="AU45" s="169" t="s">
        <v>93</v>
      </c>
      <c r="AV45" s="169"/>
      <c r="AW45" s="169" t="s">
        <v>69</v>
      </c>
      <c r="AX45" s="383"/>
    </row>
    <row r="46">
      <c r="A46" s="388">
        <v>45.0</v>
      </c>
      <c r="B46" s="34">
        <v>45888.0</v>
      </c>
      <c r="C46" s="185" t="s">
        <v>124</v>
      </c>
      <c r="D46" s="185"/>
      <c r="E46" s="187"/>
      <c r="F46" s="188">
        <v>1320.0</v>
      </c>
      <c r="G46" s="189">
        <f t="shared" si="1"/>
        <v>1320</v>
      </c>
      <c r="H46" s="190">
        <v>1254.0</v>
      </c>
      <c r="I46" s="190"/>
      <c r="J46" s="187" t="s">
        <v>48</v>
      </c>
      <c r="K46" s="145">
        <f>IF(ISBLANK(C46), "", 1350)</f>
        <v>1350</v>
      </c>
      <c r="L46" s="213" t="s">
        <v>49</v>
      </c>
      <c r="M46" s="193"/>
      <c r="N46" s="194">
        <v>200.0</v>
      </c>
      <c r="O46" s="195"/>
      <c r="P46" s="196"/>
      <c r="Q46" s="376"/>
      <c r="R46" s="198"/>
      <c r="S46" s="196"/>
      <c r="T46" s="376"/>
      <c r="U46" s="199">
        <f t="shared" si="23"/>
        <v>264000</v>
      </c>
      <c r="V46" s="200">
        <f>IFS(AND(B46&gt;=DATE(2025,1,1), B46&lt;=DATE(2025,1,31)), U46/DDashboard!$C$2, AND(B46&gt;=DATE(2025,2,1), B46&lt;=DATE(2025,2,28)), U46/DDashboard!$C$3, AND(B46&gt;=DATE(2025,3,1), B46&lt;=DATE(2025,3,31)), U46/DDashboard!$C$4, AND(B46&gt;=DATE(2025,4,1), B46&lt;=DATE(2025,4,30)), U46/DDashboard!$C$5,AND(B46&gt;=DATE(2025,5,1), B46&lt;=DATE(2025,5,31)), U46/DDashboard!$C$6,AND(B46&gt;=DATE(2025,6,1), B46&lt;=DATE(2025,6,30)), U46/DDashboard!$C$7,AND(B46&gt;=DATE(2025,7,1), B46&lt;=DATE(2025,7,31)), U46/DDashboard!$C$8,AND(B46&gt;=DATE(2025,8,1), B46&lt;=DATE(2025,8,31)), U46/DDashboard!$C$9,AND(B46&gt;=DATE(2025,9,1), B46&lt;=DATE(2025,9,30)), U46/DDashboard!$C$10,AND(B46&gt;=DATE(2025,10,1), B46&lt;=DATE(2025,10,31)), U46/DDashboard!$C$11,AND(B46&gt;=DATE(2025,11,1), B46&lt;=DATE(2025,11,30)), U46/DDashboard!$C$12, AND(B46&gt;=DATE(2025,12,1), B46&lt;=DATE(2025,12,31)), U46/DDashboard!$C$13, True, "")
</f>
        <v>0.3162249336</v>
      </c>
      <c r="W46" s="201">
        <f t="shared" si="3"/>
        <v>0.05</v>
      </c>
      <c r="X46" s="202">
        <v>720.0</v>
      </c>
      <c r="Y46" s="203">
        <v>100.0</v>
      </c>
      <c r="Z46" s="391">
        <v>46111.0</v>
      </c>
      <c r="AA46" s="198"/>
      <c r="AB46" s="222"/>
      <c r="AC46" s="223"/>
      <c r="AD46" s="195"/>
      <c r="AE46" s="222"/>
      <c r="AF46" s="223"/>
      <c r="AG46" s="136">
        <f t="shared" si="4"/>
        <v>100</v>
      </c>
      <c r="AH46" s="196">
        <f t="shared" si="5"/>
        <v>100</v>
      </c>
      <c r="AI46" s="207">
        <f t="shared" si="24"/>
        <v>1020</v>
      </c>
      <c r="AJ46" s="367">
        <f t="shared" si="7"/>
        <v>-0.2272727273</v>
      </c>
      <c r="AK46" s="208">
        <f t="shared" si="25"/>
        <v>6600</v>
      </c>
      <c r="AL46" s="207">
        <f t="shared" si="22"/>
        <v>-4.545454545</v>
      </c>
      <c r="AM46" s="209">
        <f>IF(AN46="", "", IF(AN46="Closed", 
    IF(ISNUMBER(AF46), AF46-B46,
        IF(ISNUMBER(AC46), AC46-B46,
            IF(ISNUMBER(Z46), Z46-B46, "")
        )
    ), 
    TODAY()-B46))</f>
        <v>245</v>
      </c>
      <c r="AN46" s="386">
        <f t="shared" si="11"/>
        <v>0.5</v>
      </c>
      <c r="AO46" s="366" t="str">
        <f t="shared" si="12"/>
        <v/>
      </c>
      <c r="AP46" s="210">
        <f t="shared" si="13"/>
        <v>72000</v>
      </c>
      <c r="AQ46" s="196">
        <f t="shared" si="26"/>
        <v>-57000</v>
      </c>
      <c r="AR46" s="168">
        <f>IFS(AND(B46&gt;=DATE(2025,1,1), B46&lt;=DATE(2025,1,31)), AQ46/DDashboard!$C$2, AND(B46&gt;=DATE(2025,2,1), B46&lt;=DATE(2025,2,28)), AQ46/DDashboard!$C$3, AND(B46&gt;=DATE(2025,3,1), B46&lt;=DATE(2025,3,31)), AQ46/DDashboard!$C$4, AND(B46&gt;=DATE(2025,4,1), B46&lt;=DATE(2025,4,30)), AQ46/DDashboard!$C$5,AND(B46&gt;=DATE(2025,5,1), B46&lt;=DATE(2025,5,31)), AQ46/DDashboard!$C$6,AND(B46&gt;=DATE(2025,6,1), B46&lt;=DATE(2025,6,30)), AQ46/DDashboard!$C$7,AND(B46&gt;=DATE(2025,7,1), B46&lt;=DATE(2025,7,31)), AQ46/DDashboard!$C$8,AND(B46&gt;=DATE(2025,8,1), B46&lt;=DATE(2025,8,31)), AQ46/DDashboard!$C$9,AND(B46&gt;=DATE(2025,9,1), B46&lt;=DATE(2025,9,30)), AQ46/DDashboard!$C$10,AND(B46&gt;=DATE(2025,10,1), B46&lt;=DATE(2025,10,31)), AQ46/DDashboard!$C$11,AND(B46&gt;=DATE(2025,11,1), B46&lt;=DATE(2025,11,30)), AQ46/DDashboard!$C$12, AND(B46&gt;=DATE(2025,12,1), B46&lt;=DATE(2025,12,31)), AQ46/DDashboard!$C$13, True, "")
</f>
        <v>-0.06827583793</v>
      </c>
      <c r="AS46" s="200">
        <f t="array" ref="AS46">IF(ISBLANK(C46), "", SUM($AR$9:AR46)
)</f>
        <v>-0.23148088</v>
      </c>
      <c r="AT46" s="169" t="b">
        <v>0</v>
      </c>
      <c r="AU46" s="169"/>
      <c r="AV46" s="169"/>
      <c r="AW46" s="169"/>
      <c r="AX46" s="387"/>
    </row>
    <row r="47">
      <c r="A47" s="389">
        <v>46.0</v>
      </c>
      <c r="B47" s="232">
        <v>45888.0</v>
      </c>
      <c r="C47" s="139" t="s">
        <v>67</v>
      </c>
      <c r="D47" s="139"/>
      <c r="E47" s="141"/>
      <c r="F47" s="142">
        <v>786.5</v>
      </c>
      <c r="G47" s="189">
        <f t="shared" si="1"/>
        <v>787.875</v>
      </c>
      <c r="H47" s="144">
        <v>778.0</v>
      </c>
      <c r="I47" s="144"/>
      <c r="J47" s="141" t="s">
        <v>48</v>
      </c>
      <c r="K47" s="145">
        <f>IFERROR(__xludf.DUMMYFUNCTION("IF(ISBLANK(C47), """", GOOGLEFINANCE(""NSE:"" &amp; C47,""price""))"),594.0)</f>
        <v>594</v>
      </c>
      <c r="L47" s="146" t="s">
        <v>81</v>
      </c>
      <c r="M47" s="147"/>
      <c r="N47" s="148">
        <v>120.0</v>
      </c>
      <c r="O47" s="225">
        <v>792.0</v>
      </c>
      <c r="P47" s="226">
        <v>40.0</v>
      </c>
      <c r="Q47" s="232">
        <v>45890.0</v>
      </c>
      <c r="R47" s="152"/>
      <c r="S47" s="150"/>
      <c r="T47" s="377"/>
      <c r="U47" s="153">
        <f t="shared" si="23"/>
        <v>126060</v>
      </c>
      <c r="V47" s="154">
        <f>IFS(AND(B47&gt;=DATE(2025,1,1), B47&lt;=DATE(2025,1,31)), U47/DDashboard!$C$2, AND(B47&gt;=DATE(2025,2,1), B47&lt;=DATE(2025,2,28)), U47/DDashboard!$C$3, AND(B47&gt;=DATE(2025,3,1), B47&lt;=DATE(2025,3,31)), U47/DDashboard!$C$4, AND(B47&gt;=DATE(2025,4,1), B47&lt;=DATE(2025,4,30)), U47/DDashboard!$C$5,AND(B47&gt;=DATE(2025,5,1), B47&lt;=DATE(2025,5,31)), U47/DDashboard!$C$6,AND(B47&gt;=DATE(2025,6,1), B47&lt;=DATE(2025,6,30)), U47/DDashboard!$C$7,AND(B47&gt;=DATE(2025,7,1), B47&lt;=DATE(2025,7,31)), U47/DDashboard!$C$8,AND(B47&gt;=DATE(2025,8,1), B47&lt;=DATE(2025,8,31)), U47/DDashboard!$C$9,AND(B47&gt;=DATE(2025,9,1), B47&lt;=DATE(2025,9,30)), U47/DDashboard!$C$10,AND(B47&gt;=DATE(2025,10,1), B47&lt;=DATE(2025,10,31)), U47/DDashboard!$C$11,AND(B47&gt;=DATE(2025,11,1), B47&lt;=DATE(2025,11,30)), U47/DDashboard!$C$12, AND(B47&gt;=DATE(2025,12,1), B47&lt;=DATE(2025,12,31)), U47/DDashboard!$C$13, True, "")
</f>
        <v>0.1509974058</v>
      </c>
      <c r="W47" s="65">
        <f t="shared" si="3"/>
        <v>0.01080737444</v>
      </c>
      <c r="X47" s="155"/>
      <c r="Y47" s="156"/>
      <c r="Z47" s="392"/>
      <c r="AA47" s="390"/>
      <c r="AB47" s="359"/>
      <c r="AC47" s="360"/>
      <c r="AD47" s="358"/>
      <c r="AE47" s="359"/>
      <c r="AF47" s="360"/>
      <c r="AG47" s="220">
        <f t="shared" si="4"/>
        <v>160</v>
      </c>
      <c r="AH47" s="393" t="str">
        <f t="shared" si="5"/>
        <v/>
      </c>
      <c r="AI47" s="161">
        <f t="shared" si="24"/>
        <v>594</v>
      </c>
      <c r="AJ47" s="365">
        <f t="shared" si="7"/>
        <v>-0.2460732984</v>
      </c>
      <c r="AK47" s="162">
        <f t="shared" si="25"/>
        <v>1580</v>
      </c>
      <c r="AL47" s="161">
        <f t="shared" si="22"/>
        <v>-22.76901755</v>
      </c>
      <c r="AM47" s="163">
        <f>IF(AN47="", "", IF(AN47="Closed", IF(ISNUMBER(AF47), AF47-B47,IF(ISNUMBER(AC47), AC47-B47,IF(ISNUMBER(Z47), Z47-B47, ""))), TODAY()-B47))
</f>
        <v>245</v>
      </c>
      <c r="AN47" s="381">
        <f t="shared" si="11"/>
        <v>1</v>
      </c>
      <c r="AO47" s="366" t="str">
        <f t="shared" si="12"/>
        <v/>
      </c>
      <c r="AP47" s="166">
        <f t="shared" si="13"/>
        <v>0</v>
      </c>
      <c r="AQ47" s="167">
        <f t="shared" si="26"/>
        <v>-31020</v>
      </c>
      <c r="AR47" s="168">
        <f>IFS(AND(B47&gt;=DATE(2025,1,1), B47&lt;=DATE(2025,1,31)), AQ47/DDashboard!$C$2, AND(B47&gt;=DATE(2025,2,1), B47&lt;=DATE(2025,2,28)), AQ47/DDashboard!$C$3, AND(B47&gt;=DATE(2025,3,1), B47&lt;=DATE(2025,3,31)), AQ47/DDashboard!$C$4, AND(B47&gt;=DATE(2025,4,1), B47&lt;=DATE(2025,4,30)), AQ47/DDashboard!$C$5,AND(B47&gt;=DATE(2025,5,1), B47&lt;=DATE(2025,5,31)), AQ47/DDashboard!$C$6,AND(B47&gt;=DATE(2025,6,1), B47&lt;=DATE(2025,6,30)), AQ47/DDashboard!$C$7,AND(B47&gt;=DATE(2025,7,1), B47&lt;=DATE(2025,7,31)), AQ47/DDashboard!$C$8,AND(B47&gt;=DATE(2025,8,1), B47&lt;=DATE(2025,8,31)), AQ47/DDashboard!$C$9,AND(B47&gt;=DATE(2025,9,1), B47&lt;=DATE(2025,9,30)), AQ47/DDashboard!$C$10,AND(B47&gt;=DATE(2025,10,1), B47&lt;=DATE(2025,10,31)), AQ47/DDashboard!$C$11,AND(B47&gt;=DATE(2025,11,1), B47&lt;=DATE(2025,11,30)), AQ47/DDashboard!$C$12, AND(B47&gt;=DATE(2025,12,1), B47&lt;=DATE(2025,12,31)), AQ47/DDashboard!$C$13, True, "")
</f>
        <v>-0.03715642969</v>
      </c>
      <c r="AS47" s="200">
        <f t="array" ref="AS47">IF(ISBLANK(C47), "", SUM($AR$9:AR47)
)</f>
        <v>-0.2686373097</v>
      </c>
      <c r="AT47" s="169" t="b">
        <v>0</v>
      </c>
      <c r="AU47" s="169"/>
      <c r="AV47" s="169"/>
      <c r="AW47" s="169"/>
      <c r="AX47" s="183"/>
    </row>
    <row r="48">
      <c r="A48" s="388">
        <v>47.0</v>
      </c>
      <c r="B48" s="34">
        <v>45888.0</v>
      </c>
      <c r="C48" s="185" t="s">
        <v>125</v>
      </c>
      <c r="D48" s="185"/>
      <c r="E48" s="187"/>
      <c r="F48" s="188">
        <v>357.0</v>
      </c>
      <c r="G48" s="189">
        <f t="shared" si="1"/>
        <v>357</v>
      </c>
      <c r="H48" s="190">
        <v>350.0</v>
      </c>
      <c r="I48" s="190"/>
      <c r="J48" s="187" t="s">
        <v>48</v>
      </c>
      <c r="K48" s="145">
        <f>IFERROR(__xludf.DUMMYFUNCTION("IF(ISBLANK(C48), """", GOOGLEFINANCE(""NSE:"" &amp; C48,""price""))"),341.0)</f>
        <v>341</v>
      </c>
      <c r="L48" s="213" t="s">
        <v>81</v>
      </c>
      <c r="M48" s="193"/>
      <c r="N48" s="194">
        <v>250.0</v>
      </c>
      <c r="O48" s="195"/>
      <c r="P48" s="196"/>
      <c r="Q48" s="376"/>
      <c r="R48" s="198"/>
      <c r="S48" s="196"/>
      <c r="T48" s="376"/>
      <c r="U48" s="199">
        <f t="shared" si="23"/>
        <v>89250</v>
      </c>
      <c r="V48" s="200">
        <f>IFS(AND(B48&gt;=DATE(2025,1,1), B48&lt;=DATE(2025,1,31)), U48/DDashboard!$C$2, AND(B48&gt;=DATE(2025,2,1), B48&lt;=DATE(2025,2,28)), U48/DDashboard!$C$3, AND(B48&gt;=DATE(2025,3,1), B48&lt;=DATE(2025,3,31)), U48/DDashboard!$C$4, AND(B48&gt;=DATE(2025,4,1), B48&lt;=DATE(2025,4,30)), U48/DDashboard!$C$5,AND(B48&gt;=DATE(2025,5,1), B48&lt;=DATE(2025,5,31)), U48/DDashboard!$C$6,AND(B48&gt;=DATE(2025,6,1), B48&lt;=DATE(2025,6,30)), U48/DDashboard!$C$7,AND(B48&gt;=DATE(2025,7,1), B48&lt;=DATE(2025,7,31)), U48/DDashboard!$C$8,AND(B48&gt;=DATE(2025,8,1), B48&lt;=DATE(2025,8,31)), U48/DDashboard!$C$9,AND(B48&gt;=DATE(2025,9,1), B48&lt;=DATE(2025,9,30)), U48/DDashboard!$C$10,AND(B48&gt;=DATE(2025,10,1), B48&lt;=DATE(2025,10,31)), U48/DDashboard!$C$11,AND(B48&gt;=DATE(2025,11,1), B48&lt;=DATE(2025,11,30)), U48/DDashboard!$C$12, AND(B48&gt;=DATE(2025,12,1), B48&lt;=DATE(2025,12,31)), U48/DDashboard!$C$13, True, "")
</f>
        <v>0.1069055883</v>
      </c>
      <c r="W48" s="201">
        <f t="shared" si="3"/>
        <v>0.01960784314</v>
      </c>
      <c r="X48" s="202"/>
      <c r="Y48" s="203"/>
      <c r="Z48" s="391"/>
      <c r="AA48" s="198"/>
      <c r="AB48" s="222"/>
      <c r="AC48" s="223"/>
      <c r="AD48" s="195"/>
      <c r="AE48" s="222"/>
      <c r="AF48" s="223"/>
      <c r="AG48" s="136">
        <f t="shared" si="4"/>
        <v>250</v>
      </c>
      <c r="AH48" s="385" t="str">
        <f t="shared" si="5"/>
        <v/>
      </c>
      <c r="AI48" s="207">
        <f t="shared" si="24"/>
        <v>341</v>
      </c>
      <c r="AJ48" s="367">
        <f t="shared" si="7"/>
        <v>-0.04481792717</v>
      </c>
      <c r="AK48" s="208">
        <f t="shared" si="25"/>
        <v>1750</v>
      </c>
      <c r="AL48" s="207">
        <f t="shared" si="22"/>
        <v>-2.285714286</v>
      </c>
      <c r="AM48" s="209">
        <f>IF(AN48="", "", IF(AN48="Closed", 
    IF(ISNUMBER(AF48), AF48-B48,
        IF(ISNUMBER(AC48), AC48-B48,
            IF(ISNUMBER(Z48), Z48-B48, "")
        )
    ), 
    TODAY()-B48))</f>
        <v>245</v>
      </c>
      <c r="AN48" s="386">
        <f t="shared" si="11"/>
        <v>1</v>
      </c>
      <c r="AO48" s="366" t="str">
        <f t="shared" si="12"/>
        <v/>
      </c>
      <c r="AP48" s="210">
        <f t="shared" si="13"/>
        <v>0</v>
      </c>
      <c r="AQ48" s="196">
        <f t="shared" si="26"/>
        <v>-4000</v>
      </c>
      <c r="AR48" s="168">
        <f>IFS(AND(B48&gt;=DATE(2025,1,1), B48&lt;=DATE(2025,1,31)), AQ48/DDashboard!$C$2, AND(B48&gt;=DATE(2025,2,1), B48&lt;=DATE(2025,2,28)), AQ48/DDashboard!$C$3, AND(B48&gt;=DATE(2025,3,1), B48&lt;=DATE(2025,3,31)), AQ48/DDashboard!$C$4, AND(B48&gt;=DATE(2025,4,1), B48&lt;=DATE(2025,4,30)), AQ48/DDashboard!$C$5,AND(B48&gt;=DATE(2025,5,1), B48&lt;=DATE(2025,5,31)), AQ48/DDashboard!$C$6,AND(B48&gt;=DATE(2025,6,1), B48&lt;=DATE(2025,6,30)), AQ48/DDashboard!$C$7,AND(B48&gt;=DATE(2025,7,1), B48&lt;=DATE(2025,7,31)), AQ48/DDashboard!$C$8,AND(B48&gt;=DATE(2025,8,1), B48&lt;=DATE(2025,8,31)), AQ48/DDashboard!$C$9,AND(B48&gt;=DATE(2025,9,1), B48&lt;=DATE(2025,9,30)), AQ48/DDashboard!$C$10,AND(B48&gt;=DATE(2025,10,1), B48&lt;=DATE(2025,10,31)), AQ48/DDashboard!$C$11,AND(B48&gt;=DATE(2025,11,1), B48&lt;=DATE(2025,11,30)), AQ48/DDashboard!$C$12, AND(B48&gt;=DATE(2025,12,1), B48&lt;=DATE(2025,12,31)), AQ48/DDashboard!$C$13, True, "")
</f>
        <v>-0.004791286872</v>
      </c>
      <c r="AS48" s="200">
        <f t="array" ref="AS48">IF(ISBLANK(C48), "", SUM($AR$9:AR48)
)</f>
        <v>-0.2734285965</v>
      </c>
      <c r="AT48" s="169" t="b">
        <v>0</v>
      </c>
      <c r="AU48" s="169"/>
      <c r="AV48" s="169"/>
      <c r="AW48" s="169"/>
      <c r="AX48" s="387"/>
    </row>
    <row r="49">
      <c r="A49" s="389">
        <v>48.0</v>
      </c>
      <c r="B49" s="232">
        <v>45890.0</v>
      </c>
      <c r="C49" s="139" t="s">
        <v>88</v>
      </c>
      <c r="D49" s="139"/>
      <c r="E49" s="141"/>
      <c r="F49" s="142">
        <v>328.75</v>
      </c>
      <c r="G49" s="189">
        <f t="shared" si="1"/>
        <v>328.75</v>
      </c>
      <c r="H49" s="144">
        <v>324.75</v>
      </c>
      <c r="I49" s="144"/>
      <c r="J49" s="141" t="s">
        <v>48</v>
      </c>
      <c r="K49" s="145">
        <f>IFERROR(__xludf.DUMMYFUNCTION("IF(ISBLANK(C49), """", GOOGLEFINANCE(""NSE:"" &amp; C49,""price""))"),230.0)</f>
        <v>230</v>
      </c>
      <c r="L49" s="146" t="s">
        <v>68</v>
      </c>
      <c r="M49" s="147" t="s">
        <v>72</v>
      </c>
      <c r="N49" s="148">
        <v>150.0</v>
      </c>
      <c r="O49" s="149"/>
      <c r="P49" s="150"/>
      <c r="Q49" s="377"/>
      <c r="R49" s="152"/>
      <c r="S49" s="150"/>
      <c r="T49" s="377"/>
      <c r="U49" s="153">
        <f t="shared" si="23"/>
        <v>49312.5</v>
      </c>
      <c r="V49" s="154">
        <f>IFS(AND(B49&gt;=DATE(2025,1,1), B49&lt;=DATE(2025,1,31)), U49/DDashboard!$C$2, AND(B49&gt;=DATE(2025,2,1), B49&lt;=DATE(2025,2,28)), U49/DDashboard!$C$3, AND(B49&gt;=DATE(2025,3,1), B49&lt;=DATE(2025,3,31)), U49/DDashboard!$C$4, AND(B49&gt;=DATE(2025,4,1), B49&lt;=DATE(2025,4,30)), U49/DDashboard!$C$5,AND(B49&gt;=DATE(2025,5,1), B49&lt;=DATE(2025,5,31)), U49/DDashboard!$C$6,AND(B49&gt;=DATE(2025,6,1), B49&lt;=DATE(2025,6,30)), U49/DDashboard!$C$7,AND(B49&gt;=DATE(2025,7,1), B49&lt;=DATE(2025,7,31)), U49/DDashboard!$C$8,AND(B49&gt;=DATE(2025,8,1), B49&lt;=DATE(2025,8,31)), U49/DDashboard!$C$9,AND(B49&gt;=DATE(2025,9,1), B49&lt;=DATE(2025,9,30)), U49/DDashboard!$C$10,AND(B49&gt;=DATE(2025,10,1), B49&lt;=DATE(2025,10,31)), U49/DDashboard!$C$11,AND(B49&gt;=DATE(2025,11,1), B49&lt;=DATE(2025,11,30)), U49/DDashboard!$C$12, AND(B49&gt;=DATE(2025,12,1), B49&lt;=DATE(2025,12,31)), U49/DDashboard!$C$13, True, "")
</f>
        <v>0.05906758347</v>
      </c>
      <c r="W49" s="65">
        <f t="shared" si="3"/>
        <v>0.01216730038</v>
      </c>
      <c r="X49" s="155">
        <v>340.38</v>
      </c>
      <c r="Y49" s="156">
        <v>100.0</v>
      </c>
      <c r="Z49" s="157">
        <v>45890.0</v>
      </c>
      <c r="AA49" s="390"/>
      <c r="AB49" s="359"/>
      <c r="AC49" s="360"/>
      <c r="AD49" s="358"/>
      <c r="AE49" s="359"/>
      <c r="AF49" s="360"/>
      <c r="AG49" s="220">
        <f t="shared" si="4"/>
        <v>50</v>
      </c>
      <c r="AH49" s="150">
        <f t="shared" si="5"/>
        <v>100</v>
      </c>
      <c r="AI49" s="161">
        <f t="shared" si="24"/>
        <v>336.5033333</v>
      </c>
      <c r="AJ49" s="365">
        <f t="shared" si="7"/>
        <v>0.0235842839</v>
      </c>
      <c r="AK49" s="162">
        <f t="shared" si="25"/>
        <v>200</v>
      </c>
      <c r="AL49" s="161">
        <f t="shared" si="22"/>
        <v>1.938333333</v>
      </c>
      <c r="AM49" s="163">
        <f>IF(AN49="", "", IF(AN49="Closed", IF(ISNUMBER(AF49), AF49-B49,IF(ISNUMBER(AC49), AC49-B49,IF(ISNUMBER(Z49), Z49-B49, ""))), TODAY()-B49))
</f>
        <v>243</v>
      </c>
      <c r="AN49" s="381">
        <f t="shared" si="11"/>
        <v>0.3333333333</v>
      </c>
      <c r="AO49" s="366" t="str">
        <f t="shared" si="12"/>
        <v/>
      </c>
      <c r="AP49" s="166">
        <f t="shared" si="13"/>
        <v>34038</v>
      </c>
      <c r="AQ49" s="167">
        <f t="shared" si="26"/>
        <v>-3774.5</v>
      </c>
      <c r="AR49" s="168">
        <f>IFS(AND(B49&gt;=DATE(2025,1,1), B49&lt;=DATE(2025,1,31)), AQ49/DDashboard!$C$2, AND(B49&gt;=DATE(2025,2,1), B49&lt;=DATE(2025,2,28)), AQ49/DDashboard!$C$3, AND(B49&gt;=DATE(2025,3,1), B49&lt;=DATE(2025,3,31)), AQ49/DDashboard!$C$4, AND(B49&gt;=DATE(2025,4,1), B49&lt;=DATE(2025,4,30)), AQ49/DDashboard!$C$5,AND(B49&gt;=DATE(2025,5,1), B49&lt;=DATE(2025,5,31)), AQ49/DDashboard!$C$6,AND(B49&gt;=DATE(2025,6,1), B49&lt;=DATE(2025,6,30)), AQ49/DDashboard!$C$7,AND(B49&gt;=DATE(2025,7,1), B49&lt;=DATE(2025,7,31)), AQ49/DDashboard!$C$8,AND(B49&gt;=DATE(2025,8,1), B49&lt;=DATE(2025,8,31)), AQ49/DDashboard!$C$9,AND(B49&gt;=DATE(2025,9,1), B49&lt;=DATE(2025,9,30)), AQ49/DDashboard!$C$10,AND(B49&gt;=DATE(2025,10,1), B49&lt;=DATE(2025,10,31)), AQ49/DDashboard!$C$11,AND(B49&gt;=DATE(2025,11,1), B49&lt;=DATE(2025,11,30)), AQ49/DDashboard!$C$12, AND(B49&gt;=DATE(2025,12,1), B49&lt;=DATE(2025,12,31)), AQ49/DDashboard!$C$13, True, "")
</f>
        <v>-0.004521178075</v>
      </c>
      <c r="AS49" s="200">
        <f t="array" ref="AS49">IF(ISBLANK(C49), "", SUM($AR$9:AR49)
)</f>
        <v>-0.2779497746</v>
      </c>
      <c r="AT49" s="169" t="b">
        <v>0</v>
      </c>
      <c r="AU49" s="169" t="s">
        <v>101</v>
      </c>
      <c r="AV49" s="169"/>
      <c r="AW49" s="169"/>
      <c r="AX49" s="383"/>
    </row>
    <row r="50">
      <c r="A50" s="388">
        <v>49.0</v>
      </c>
      <c r="B50" s="184"/>
      <c r="C50" s="185"/>
      <c r="D50" s="185"/>
      <c r="E50" s="187"/>
      <c r="F50" s="188"/>
      <c r="G50" s="189" t="str">
        <f t="shared" si="1"/>
        <v/>
      </c>
      <c r="H50" s="190"/>
      <c r="I50" s="190"/>
      <c r="J50" s="187"/>
      <c r="K50" s="145" t="str">
        <f>IFERROR(__xludf.DUMMYFUNCTION("IF(ISBLANK(C50), """", GOOGLEFINANCE(""NSE:"" &amp; C50,""price""))"),"")</f>
        <v/>
      </c>
      <c r="L50" s="213"/>
      <c r="M50" s="193"/>
      <c r="N50" s="194"/>
      <c r="O50" s="195"/>
      <c r="P50" s="196"/>
      <c r="Q50" s="376"/>
      <c r="R50" s="198"/>
      <c r="S50" s="196"/>
      <c r="T50" s="376"/>
      <c r="U50" s="199" t="str">
        <f t="shared" si="23"/>
        <v/>
      </c>
      <c r="V50" s="200" t="str">
        <f>IFS(AND(B50&gt;=DATE(2025,1,1), B50&lt;=DATE(2025,1,31)), U50/DDashboard!$C$2, AND(B50&gt;=DATE(2025,2,1), B50&lt;=DATE(2025,2,28)), U50/DDashboard!$C$3, AND(B50&gt;=DATE(2025,3,1), B50&lt;=DATE(2025,3,31)), U50/DDashboard!$C$4, AND(B50&gt;=DATE(2025,4,1), B50&lt;=DATE(2025,4,30)), U50/DDashboard!$C$5,AND(B50&gt;=DATE(2025,5,1), B50&lt;=DATE(2025,5,31)), U50/DDashboard!$C$6,AND(B50&gt;=DATE(2025,6,1), B50&lt;=DATE(2025,6,30)), U50/DDashboard!$C$7,AND(B50&gt;=DATE(2025,7,1), B50&lt;=DATE(2025,7,31)), U50/DDashboard!$C$8,AND(B50&gt;=DATE(2025,8,1), B50&lt;=DATE(2025,8,31)), U50/DDashboard!$C$9,AND(B50&gt;=DATE(2025,9,1), B50&lt;=DATE(2025,9,30)), U50/DDashboard!$C$10,AND(B50&gt;=DATE(2025,10,1), B50&lt;=DATE(2025,10,31)), U50/DDashboard!$C$11,AND(B50&gt;=DATE(2025,11,1), B50&lt;=DATE(2025,11,30)), U50/DDashboard!$C$12, AND(B50&gt;=DATE(2025,12,1), B50&lt;=DATE(2025,12,31)), U50/DDashboard!$C$13, True, "")
</f>
        <v/>
      </c>
      <c r="W50" s="201" t="str">
        <f t="shared" si="3"/>
        <v/>
      </c>
      <c r="X50" s="202"/>
      <c r="Y50" s="203"/>
      <c r="Z50" s="384"/>
      <c r="AA50" s="202"/>
      <c r="AB50" s="203"/>
      <c r="AC50" s="204"/>
      <c r="AD50" s="205"/>
      <c r="AE50" s="203"/>
      <c r="AF50" s="204"/>
      <c r="AG50" s="206" t="str">
        <f t="shared" si="4"/>
        <v/>
      </c>
      <c r="AH50" s="385" t="str">
        <f t="shared" si="5"/>
        <v/>
      </c>
      <c r="AI50" s="207" t="str">
        <f t="shared" si="24"/>
        <v/>
      </c>
      <c r="AJ50" s="367" t="str">
        <f t="shared" si="7"/>
        <v/>
      </c>
      <c r="AK50" s="208" t="str">
        <f t="shared" si="25"/>
        <v/>
      </c>
      <c r="AL50" s="207" t="str">
        <f t="shared" si="22"/>
        <v/>
      </c>
      <c r="AM50" s="209" t="str">
        <f>IF(AN50="", "", IF(AN50="Closed", 
    IF(ISNUMBER(AF50), AF50-B50,
        IF(ISNUMBER(AC50), AC50-B50,
            IF(ISNUMBER(Z50), Z50-B50, "")
        )
    ), 
    TODAY()-B50))</f>
        <v/>
      </c>
      <c r="AN50" s="386" t="str">
        <f t="shared" si="11"/>
        <v/>
      </c>
      <c r="AO50" s="366" t="str">
        <f t="shared" si="12"/>
        <v/>
      </c>
      <c r="AP50" s="210" t="str">
        <f t="shared" si="13"/>
        <v/>
      </c>
      <c r="AQ50" s="196" t="str">
        <f t="shared" si="26"/>
        <v/>
      </c>
      <c r="AR50" s="168" t="str">
        <f>IFS(AND(B50&gt;=DATE(2025,1,1), B50&lt;=DATE(2025,1,31)), AQ50/DDashboard!$C$2, AND(B50&gt;=DATE(2025,2,1), B50&lt;=DATE(2025,2,28)), AQ50/DDashboard!$C$3, AND(B50&gt;=DATE(2025,3,1), B50&lt;=DATE(2025,3,31)), AQ50/DDashboard!$C$4, AND(B50&gt;=DATE(2025,4,1), B50&lt;=DATE(2025,4,30)), AQ50/DDashboard!$C$5,AND(B50&gt;=DATE(2025,5,1), B50&lt;=DATE(2025,5,31)), AQ50/DDashboard!$C$6,AND(B50&gt;=DATE(2025,6,1), B50&lt;=DATE(2025,6,30)), AQ50/DDashboard!$C$7,AND(B50&gt;=DATE(2025,7,1), B50&lt;=DATE(2025,7,31)), AQ50/DDashboard!$C$8,AND(B50&gt;=DATE(2025,8,1), B50&lt;=DATE(2025,8,31)), AQ50/DDashboard!$C$9,AND(B50&gt;=DATE(2025,9,1), B50&lt;=DATE(2025,9,30)), AQ50/DDashboard!$C$10,AND(B50&gt;=DATE(2025,10,1), B50&lt;=DATE(2025,10,31)), AQ50/DDashboard!$C$11,AND(B50&gt;=DATE(2025,11,1), B50&lt;=DATE(2025,11,30)), AQ50/DDashboard!$C$12, AND(B50&gt;=DATE(2025,12,1), B50&lt;=DATE(2025,12,31)), AQ50/DDashboard!$C$13, True, "")
</f>
        <v/>
      </c>
      <c r="AS50" s="200" t="str">
        <f t="array" ref="AS50">IF(ISBLANK(C50), "", SUM($AR$9:AR50)
)</f>
        <v/>
      </c>
      <c r="AT50" s="169" t="b">
        <v>0</v>
      </c>
      <c r="AU50" s="169"/>
      <c r="AV50" s="169"/>
      <c r="AW50" s="169"/>
      <c r="AX50" s="387"/>
    </row>
    <row r="51">
      <c r="A51" s="389">
        <v>50.0</v>
      </c>
      <c r="B51" s="138"/>
      <c r="C51" s="139"/>
      <c r="D51" s="139"/>
      <c r="E51" s="141"/>
      <c r="F51" s="142"/>
      <c r="G51" s="189" t="str">
        <f t="shared" si="1"/>
        <v/>
      </c>
      <c r="H51" s="144"/>
      <c r="I51" s="144"/>
      <c r="J51" s="141"/>
      <c r="K51" s="145" t="str">
        <f>IFERROR(__xludf.DUMMYFUNCTION("IF(ISBLANK(C51), """", GOOGLEFINANCE(""NSE:"" &amp; C51,""price""))"),"")</f>
        <v/>
      </c>
      <c r="L51" s="146"/>
      <c r="M51" s="147"/>
      <c r="N51" s="148"/>
      <c r="O51" s="149"/>
      <c r="P51" s="150"/>
      <c r="Q51" s="377"/>
      <c r="R51" s="152"/>
      <c r="S51" s="150"/>
      <c r="T51" s="377"/>
      <c r="U51" s="153" t="str">
        <f t="shared" si="23"/>
        <v/>
      </c>
      <c r="V51" s="154" t="str">
        <f>IFS(AND(B51&gt;=DATE(2025,1,1), B51&lt;=DATE(2025,1,31)), U51/DDashboard!$C$2, AND(B51&gt;=DATE(2025,2,1), B51&lt;=DATE(2025,2,28)), U51/DDashboard!$C$3, AND(B51&gt;=DATE(2025,3,1), B51&lt;=DATE(2025,3,31)), U51/DDashboard!$C$4, AND(B51&gt;=DATE(2025,4,1), B51&lt;=DATE(2025,4,30)), U51/DDashboard!$C$5,AND(B51&gt;=DATE(2025,5,1), B51&lt;=DATE(2025,5,31)), U51/DDashboard!$C$6,AND(B51&gt;=DATE(2025,6,1), B51&lt;=DATE(2025,6,30)), U51/DDashboard!$C$7,AND(B51&gt;=DATE(2025,7,1), B51&lt;=DATE(2025,7,31)), U51/DDashboard!$C$8,AND(B51&gt;=DATE(2025,8,1), B51&lt;=DATE(2025,8,31)), U51/DDashboard!$C$9,AND(B51&gt;=DATE(2025,9,1), B51&lt;=DATE(2025,9,30)), U51/DDashboard!$C$10,AND(B51&gt;=DATE(2025,10,1), B51&lt;=DATE(2025,10,31)), U51/DDashboard!$C$11,AND(B51&gt;=DATE(2025,11,1), B51&lt;=DATE(2025,11,30)), U51/DDashboard!$C$12, AND(B51&gt;=DATE(2025,12,1), B51&lt;=DATE(2025,12,31)), U51/DDashboard!$C$13, True, "")
</f>
        <v/>
      </c>
      <c r="W51" s="65" t="str">
        <f t="shared" si="3"/>
        <v/>
      </c>
      <c r="X51" s="155"/>
      <c r="Y51" s="156"/>
      <c r="Z51" s="182"/>
      <c r="AA51" s="390"/>
      <c r="AB51" s="359"/>
      <c r="AC51" s="394"/>
      <c r="AD51" s="358"/>
      <c r="AE51" s="359"/>
      <c r="AF51" s="360"/>
      <c r="AG51" s="160" t="str">
        <f t="shared" si="4"/>
        <v/>
      </c>
      <c r="AH51" s="393" t="str">
        <f t="shared" si="5"/>
        <v/>
      </c>
      <c r="AI51" s="161" t="str">
        <f t="shared" si="24"/>
        <v/>
      </c>
      <c r="AJ51" s="365" t="str">
        <f t="shared" si="7"/>
        <v/>
      </c>
      <c r="AK51" s="162" t="str">
        <f t="shared" si="25"/>
        <v/>
      </c>
      <c r="AL51" s="161" t="str">
        <f t="shared" si="22"/>
        <v/>
      </c>
      <c r="AM51" s="163" t="str">
        <f>IF(AN51="", "", IF(AN51="Closed", IF(ISNUMBER(AF51), AF51-B51,IF(ISNUMBER(AC51), AC51-B51,IF(ISNUMBER(Z51), Z51-B51, ""))), TODAY()-B51))
</f>
        <v/>
      </c>
      <c r="AN51" s="381" t="str">
        <f t="shared" si="11"/>
        <v/>
      </c>
      <c r="AO51" s="366" t="str">
        <f t="shared" si="12"/>
        <v/>
      </c>
      <c r="AP51" s="166" t="str">
        <f t="shared" si="13"/>
        <v/>
      </c>
      <c r="AQ51" s="167" t="str">
        <f t="shared" si="26"/>
        <v/>
      </c>
      <c r="AR51" s="168" t="str">
        <f>IFS(AND(B51&gt;=DATE(2025,1,1), B51&lt;=DATE(2025,1,31)), AQ51/DDashboard!$C$2, AND(B51&gt;=DATE(2025,2,1), B51&lt;=DATE(2025,2,28)), AQ51/DDashboard!$C$3, AND(B51&gt;=DATE(2025,3,1), B51&lt;=DATE(2025,3,31)), AQ51/DDashboard!$C$4, AND(B51&gt;=DATE(2025,4,1), B51&lt;=DATE(2025,4,30)), AQ51/DDashboard!$C$5,AND(B51&gt;=DATE(2025,5,1), B51&lt;=DATE(2025,5,31)), AQ51/DDashboard!$C$6,AND(B51&gt;=DATE(2025,6,1), B51&lt;=DATE(2025,6,30)), AQ51/DDashboard!$C$7,AND(B51&gt;=DATE(2025,7,1), B51&lt;=DATE(2025,7,31)), AQ51/DDashboard!$C$8,AND(B51&gt;=DATE(2025,8,1), B51&lt;=DATE(2025,8,31)), AQ51/DDashboard!$C$9,AND(B51&gt;=DATE(2025,9,1), B51&lt;=DATE(2025,9,30)), AQ51/DDashboard!$C$10,AND(B51&gt;=DATE(2025,10,1), B51&lt;=DATE(2025,10,31)), AQ51/DDashboard!$C$11,AND(B51&gt;=DATE(2025,11,1), B51&lt;=DATE(2025,11,30)), AQ51/DDashboard!$C$12, AND(B51&gt;=DATE(2025,12,1), B51&lt;=DATE(2025,12,31)), AQ51/DDashboard!$C$13, True, "")
</f>
        <v/>
      </c>
      <c r="AS51" s="200" t="str">
        <f t="array" ref="AS51">IF(ISBLANK(C51), "", SUM($AR$9:AR51)
)</f>
        <v/>
      </c>
      <c r="AT51" s="169" t="b">
        <v>0</v>
      </c>
      <c r="AU51" s="169"/>
      <c r="AV51" s="169"/>
      <c r="AW51" s="169"/>
      <c r="AX51" s="183"/>
    </row>
    <row r="52">
      <c r="A52" s="388">
        <v>51.0</v>
      </c>
      <c r="B52" s="184"/>
      <c r="C52" s="185"/>
      <c r="D52" s="185"/>
      <c r="E52" s="187"/>
      <c r="F52" s="188"/>
      <c r="G52" s="189" t="str">
        <f t="shared" si="1"/>
        <v/>
      </c>
      <c r="H52" s="190"/>
      <c r="I52" s="190"/>
      <c r="J52" s="187"/>
      <c r="K52" s="145" t="str">
        <f>IFERROR(__xludf.DUMMYFUNCTION("IF(ISBLANK(C52), """", GOOGLEFINANCE(""NSE:"" &amp; C52,""price""))"),"")</f>
        <v/>
      </c>
      <c r="L52" s="213"/>
      <c r="M52" s="193"/>
      <c r="N52" s="194"/>
      <c r="O52" s="195"/>
      <c r="P52" s="196"/>
      <c r="Q52" s="376"/>
      <c r="R52" s="198"/>
      <c r="S52" s="196"/>
      <c r="T52" s="376"/>
      <c r="U52" s="199" t="str">
        <f t="shared" si="23"/>
        <v/>
      </c>
      <c r="V52" s="200" t="str">
        <f>IFS(AND(B52&gt;=DATE(2025,1,1), B52&lt;=DATE(2025,1,31)), U52/DDashboard!$C$2, AND(B52&gt;=DATE(2025,2,1), B52&lt;=DATE(2025,2,28)), U52/DDashboard!$C$3, AND(B52&gt;=DATE(2025,3,1), B52&lt;=DATE(2025,3,31)), U52/DDashboard!$C$4, AND(B52&gt;=DATE(2025,4,1), B52&lt;=DATE(2025,4,30)), U52/DDashboard!$C$5,AND(B52&gt;=DATE(2025,5,1), B52&lt;=DATE(2025,5,31)), U52/DDashboard!$C$6,AND(B52&gt;=DATE(2025,6,1), B52&lt;=DATE(2025,6,30)), U52/DDashboard!$C$7,AND(B52&gt;=DATE(2025,7,1), B52&lt;=DATE(2025,7,31)), U52/DDashboard!$C$8,AND(B52&gt;=DATE(2025,8,1), B52&lt;=DATE(2025,8,31)), U52/DDashboard!$C$9,AND(B52&gt;=DATE(2025,9,1), B52&lt;=DATE(2025,9,30)), U52/DDashboard!$C$10,AND(B52&gt;=DATE(2025,10,1), B52&lt;=DATE(2025,10,31)), U52/DDashboard!$C$11,AND(B52&gt;=DATE(2025,11,1), B52&lt;=DATE(2025,11,30)), U52/DDashboard!$C$12, AND(B52&gt;=DATE(2025,12,1), B52&lt;=DATE(2025,12,31)), U52/DDashboard!$C$13, True, "")
</f>
        <v/>
      </c>
      <c r="W52" s="201" t="str">
        <f t="shared" si="3"/>
        <v/>
      </c>
      <c r="X52" s="202"/>
      <c r="Y52" s="203"/>
      <c r="Z52" s="384"/>
      <c r="AA52" s="202"/>
      <c r="AB52" s="203"/>
      <c r="AC52" s="204"/>
      <c r="AD52" s="195"/>
      <c r="AE52" s="222"/>
      <c r="AF52" s="223"/>
      <c r="AG52" s="206" t="str">
        <f t="shared" si="4"/>
        <v/>
      </c>
      <c r="AH52" s="385" t="str">
        <f t="shared" si="5"/>
        <v/>
      </c>
      <c r="AI52" s="207" t="str">
        <f t="shared" si="24"/>
        <v/>
      </c>
      <c r="AJ52" s="367" t="str">
        <f t="shared" si="7"/>
        <v/>
      </c>
      <c r="AK52" s="208" t="str">
        <f t="shared" si="25"/>
        <v/>
      </c>
      <c r="AL52" s="207" t="str">
        <f t="shared" si="22"/>
        <v/>
      </c>
      <c r="AM52" s="209" t="str">
        <f>IF(AN52="", "", IF(AN52="Closed", 
    IF(ISNUMBER(AF52), AF52-B52,
        IF(ISNUMBER(AC52), AC52-B52,
            IF(ISNUMBER(Z52), Z52-B52, "")
        )
    ), 
    TODAY()-B52))</f>
        <v/>
      </c>
      <c r="AN52" s="386" t="str">
        <f t="shared" si="11"/>
        <v/>
      </c>
      <c r="AO52" s="366" t="str">
        <f t="shared" si="12"/>
        <v/>
      </c>
      <c r="AP52" s="210" t="str">
        <f t="shared" si="13"/>
        <v/>
      </c>
      <c r="AQ52" s="196" t="str">
        <f t="shared" si="26"/>
        <v/>
      </c>
      <c r="AR52" s="168" t="str">
        <f>IFS(AND(B52&gt;=DATE(2025,1,1), B52&lt;=DATE(2025,1,31)), AQ52/DDashboard!$C$2, AND(B52&gt;=DATE(2025,2,1), B52&lt;=DATE(2025,2,28)), AQ52/DDashboard!$C$3, AND(B52&gt;=DATE(2025,3,1), B52&lt;=DATE(2025,3,31)), AQ52/DDashboard!$C$4, AND(B52&gt;=DATE(2025,4,1), B52&lt;=DATE(2025,4,30)), AQ52/DDashboard!$C$5,AND(B52&gt;=DATE(2025,5,1), B52&lt;=DATE(2025,5,31)), AQ52/DDashboard!$C$6,AND(B52&gt;=DATE(2025,6,1), B52&lt;=DATE(2025,6,30)), AQ52/DDashboard!$C$7,AND(B52&gt;=DATE(2025,7,1), B52&lt;=DATE(2025,7,31)), AQ52/DDashboard!$C$8,AND(B52&gt;=DATE(2025,8,1), B52&lt;=DATE(2025,8,31)), AQ52/DDashboard!$C$9,AND(B52&gt;=DATE(2025,9,1), B52&lt;=DATE(2025,9,30)), AQ52/DDashboard!$C$10,AND(B52&gt;=DATE(2025,10,1), B52&lt;=DATE(2025,10,31)), AQ52/DDashboard!$C$11,AND(B52&gt;=DATE(2025,11,1), B52&lt;=DATE(2025,11,30)), AQ52/DDashboard!$C$12, AND(B52&gt;=DATE(2025,12,1), B52&lt;=DATE(2025,12,31)), AQ52/DDashboard!$C$13, True, "")
</f>
        <v/>
      </c>
      <c r="AS52" s="200" t="str">
        <f t="array" ref="AS52">IF(ISBLANK(C52), "", SUM($AR$9:AR52)
)</f>
        <v/>
      </c>
      <c r="AT52" s="169" t="b">
        <v>0</v>
      </c>
      <c r="AU52" s="169"/>
      <c r="AV52" s="169"/>
      <c r="AW52" s="169"/>
      <c r="AX52" s="32"/>
    </row>
    <row r="53">
      <c r="A53" s="389">
        <v>52.0</v>
      </c>
      <c r="B53" s="138"/>
      <c r="C53" s="139"/>
      <c r="D53" s="139"/>
      <c r="E53" s="141"/>
      <c r="F53" s="395"/>
      <c r="G53" s="396" t="str">
        <f t="shared" si="1"/>
        <v/>
      </c>
      <c r="H53" s="144"/>
      <c r="I53" s="144"/>
      <c r="J53" s="141"/>
      <c r="K53" s="145" t="str">
        <f>IFERROR(__xludf.DUMMYFUNCTION("IF(ISBLANK(C53), """", GOOGLEFINANCE(""NSE:"" &amp; C53,""price""))"),"")</f>
        <v/>
      </c>
      <c r="L53" s="146"/>
      <c r="M53" s="147"/>
      <c r="N53" s="148"/>
      <c r="O53" s="149"/>
      <c r="P53" s="150"/>
      <c r="Q53" s="377"/>
      <c r="R53" s="152"/>
      <c r="S53" s="150"/>
      <c r="T53" s="377"/>
      <c r="U53" s="153" t="str">
        <f t="shared" si="23"/>
        <v/>
      </c>
      <c r="V53" s="154" t="str">
        <f>IFS(AND(B53&gt;=DATE(2025,1,1), B53&lt;=DATE(2025,1,31)), U53/DDashboard!$C$2, AND(B53&gt;=DATE(2025,2,1), B53&lt;=DATE(2025,2,28)), U53/DDashboard!$C$3, AND(B53&gt;=DATE(2025,3,1), B53&lt;=DATE(2025,3,31)), U53/DDashboard!$C$4, AND(B53&gt;=DATE(2025,4,1), B53&lt;=DATE(2025,4,30)), U53/DDashboard!$C$5,AND(B53&gt;=DATE(2025,5,1), B53&lt;=DATE(2025,5,31)), U53/DDashboard!$C$6,AND(B53&gt;=DATE(2025,6,1), B53&lt;=DATE(2025,6,30)), U53/DDashboard!$C$7,AND(B53&gt;=DATE(2025,7,1), B53&lt;=DATE(2025,7,31)), U53/DDashboard!$C$8,AND(B53&gt;=DATE(2025,8,1), B53&lt;=DATE(2025,8,31)), U53/DDashboard!$C$9,AND(B53&gt;=DATE(2025,9,1), B53&lt;=DATE(2025,9,30)), U53/DDashboard!$C$10,AND(B53&gt;=DATE(2025,10,1), B53&lt;=DATE(2025,10,31)), U53/DDashboard!$C$11,AND(B53&gt;=DATE(2025,11,1), B53&lt;=DATE(2025,11,30)), U53/DDashboard!$C$12, AND(B53&gt;=DATE(2025,12,1), B53&lt;=DATE(2025,12,31)), U53/DDashboard!$C$13, True, "")
</f>
        <v/>
      </c>
      <c r="W53" s="65" t="str">
        <f t="shared" si="3"/>
        <v/>
      </c>
      <c r="X53" s="155"/>
      <c r="Y53" s="156"/>
      <c r="Z53" s="182"/>
      <c r="AA53" s="390"/>
      <c r="AB53" s="359"/>
      <c r="AC53" s="360"/>
      <c r="AD53" s="358"/>
      <c r="AE53" s="359"/>
      <c r="AF53" s="360"/>
      <c r="AG53" s="160" t="str">
        <f t="shared" si="4"/>
        <v/>
      </c>
      <c r="AH53" s="393" t="str">
        <f t="shared" si="5"/>
        <v/>
      </c>
      <c r="AI53" s="161" t="str">
        <f t="shared" si="24"/>
        <v/>
      </c>
      <c r="AJ53" s="365" t="str">
        <f t="shared" si="7"/>
        <v/>
      </c>
      <c r="AK53" s="162" t="str">
        <f t="shared" si="25"/>
        <v/>
      </c>
      <c r="AL53" s="161" t="str">
        <f t="shared" si="22"/>
        <v/>
      </c>
      <c r="AM53" s="163" t="str">
        <f>IF(AN53="", "", IF(AN53="Closed", IF(ISNUMBER(AF53), AF53-B53,IF(ISNUMBER(AC53), AC53-B53,IF(ISNUMBER(Z53), Z53-B53, ""))), TODAY()-B53))
</f>
        <v/>
      </c>
      <c r="AN53" s="381" t="str">
        <f t="shared" si="11"/>
        <v/>
      </c>
      <c r="AO53" s="366" t="str">
        <f t="shared" si="12"/>
        <v/>
      </c>
      <c r="AP53" s="166" t="str">
        <f t="shared" si="13"/>
        <v/>
      </c>
      <c r="AQ53" s="167" t="str">
        <f t="shared" si="26"/>
        <v/>
      </c>
      <c r="AR53" s="168" t="str">
        <f>IFS(AND(B53&gt;=DATE(2025,1,1), B53&lt;=DATE(2025,1,31)), AQ53/DDashboard!$C$2, AND(B53&gt;=DATE(2025,2,1), B53&lt;=DATE(2025,2,28)), AQ53/DDashboard!$C$3, AND(B53&gt;=DATE(2025,3,1), B53&lt;=DATE(2025,3,31)), AQ53/DDashboard!$C$4, AND(B53&gt;=DATE(2025,4,1), B53&lt;=DATE(2025,4,30)), AQ53/DDashboard!$C$5,AND(B53&gt;=DATE(2025,5,1), B53&lt;=DATE(2025,5,31)), AQ53/DDashboard!$C$6,AND(B53&gt;=DATE(2025,6,1), B53&lt;=DATE(2025,6,30)), AQ53/DDashboard!$C$7,AND(B53&gt;=DATE(2025,7,1), B53&lt;=DATE(2025,7,31)), AQ53/DDashboard!$C$8,AND(B53&gt;=DATE(2025,8,1), B53&lt;=DATE(2025,8,31)), AQ53/DDashboard!$C$9,AND(B53&gt;=DATE(2025,9,1), B53&lt;=DATE(2025,9,30)), AQ53/DDashboard!$C$10,AND(B53&gt;=DATE(2025,10,1), B53&lt;=DATE(2025,10,31)), AQ53/DDashboard!$C$11,AND(B53&gt;=DATE(2025,11,1), B53&lt;=DATE(2025,11,30)), AQ53/DDashboard!$C$12, AND(B53&gt;=DATE(2025,12,1), B53&lt;=DATE(2025,12,31)), AQ53/DDashboard!$C$13, True, "")
</f>
        <v/>
      </c>
      <c r="AS53" s="200" t="str">
        <f t="array" ref="AS53">IF(ISBLANK(C53), "", SUM($AR$9:AR53)
)</f>
        <v/>
      </c>
      <c r="AT53" s="169" t="b">
        <v>0</v>
      </c>
      <c r="AU53" s="169"/>
      <c r="AV53" s="169"/>
      <c r="AW53" s="169"/>
      <c r="AX53" s="383"/>
    </row>
    <row r="54">
      <c r="A54" s="388">
        <v>53.0</v>
      </c>
      <c r="B54" s="184"/>
      <c r="C54" s="185"/>
      <c r="D54" s="185"/>
      <c r="E54" s="187"/>
      <c r="F54" s="188"/>
      <c r="G54" s="397" t="str">
        <f t="shared" si="1"/>
        <v/>
      </c>
      <c r="H54" s="190"/>
      <c r="I54" s="190"/>
      <c r="J54" s="187"/>
      <c r="K54" s="145" t="str">
        <f>IFERROR(__xludf.DUMMYFUNCTION("IF(ISBLANK(C54), """", GOOGLEFINANCE(""NSE:"" &amp; C54,""price""))"),"")</f>
        <v/>
      </c>
      <c r="L54" s="213"/>
      <c r="M54" s="193"/>
      <c r="N54" s="194"/>
      <c r="O54" s="195"/>
      <c r="P54" s="196"/>
      <c r="Q54" s="376"/>
      <c r="R54" s="198"/>
      <c r="S54" s="196"/>
      <c r="T54" s="376"/>
      <c r="U54" s="199" t="str">
        <f t="shared" si="23"/>
        <v/>
      </c>
      <c r="V54" s="200" t="str">
        <f>IFS(AND(B54&gt;=DATE(2025,1,1), B54&lt;=DATE(2025,1,31)), U54/DDashboard!$C$2, AND(B54&gt;=DATE(2025,2,1), B54&lt;=DATE(2025,2,28)), U54/DDashboard!$C$3, AND(B54&gt;=DATE(2025,3,1), B54&lt;=DATE(2025,3,31)), U54/DDashboard!$C$4, AND(B54&gt;=DATE(2025,4,1), B54&lt;=DATE(2025,4,30)), U54/DDashboard!$C$5,AND(B54&gt;=DATE(2025,5,1), B54&lt;=DATE(2025,5,31)), U54/DDashboard!$C$6,AND(B54&gt;=DATE(2025,6,1), B54&lt;=DATE(2025,6,30)), U54/DDashboard!$C$7,AND(B54&gt;=DATE(2025,7,1), B54&lt;=DATE(2025,7,31)), U54/DDashboard!$C$8,AND(B54&gt;=DATE(2025,8,1), B54&lt;=DATE(2025,8,31)), U54/DDashboard!$C$9,AND(B54&gt;=DATE(2025,9,1), B54&lt;=DATE(2025,9,30)), U54/DDashboard!$C$10,AND(B54&gt;=DATE(2025,10,1), B54&lt;=DATE(2025,10,31)), U54/DDashboard!$C$11,AND(B54&gt;=DATE(2025,11,1), B54&lt;=DATE(2025,11,30)), U54/DDashboard!$C$12, AND(B54&gt;=DATE(2025,12,1), B54&lt;=DATE(2025,12,31)), U54/DDashboard!$C$13, True, "")
</f>
        <v/>
      </c>
      <c r="W54" s="201" t="str">
        <f t="shared" si="3"/>
        <v/>
      </c>
      <c r="X54" s="202"/>
      <c r="Y54" s="203"/>
      <c r="Z54" s="384"/>
      <c r="AA54" s="202"/>
      <c r="AB54" s="203"/>
      <c r="AC54" s="204"/>
      <c r="AD54" s="195"/>
      <c r="AE54" s="222"/>
      <c r="AF54" s="223"/>
      <c r="AG54" s="206" t="str">
        <f t="shared" si="4"/>
        <v/>
      </c>
      <c r="AH54" s="385" t="str">
        <f t="shared" si="5"/>
        <v/>
      </c>
      <c r="AI54" s="207" t="str">
        <f t="shared" si="24"/>
        <v/>
      </c>
      <c r="AJ54" s="367" t="str">
        <f t="shared" si="7"/>
        <v/>
      </c>
      <c r="AK54" s="208" t="str">
        <f t="shared" si="25"/>
        <v/>
      </c>
      <c r="AL54" s="207" t="str">
        <f t="shared" si="22"/>
        <v/>
      </c>
      <c r="AM54" s="209" t="str">
        <f>IF(AN54="", "", IF(AN54="Closed", 
    IF(ISNUMBER(AF54), AF54-B54,
        IF(ISNUMBER(AC54), AC54-B54,
            IF(ISNUMBER(Z54), Z54-B54, "")
        )
    ), 
    TODAY()-B54))</f>
        <v/>
      </c>
      <c r="AN54" s="386" t="str">
        <f t="shared" si="11"/>
        <v/>
      </c>
      <c r="AO54" s="366" t="str">
        <f t="shared" si="12"/>
        <v/>
      </c>
      <c r="AP54" s="210" t="str">
        <f t="shared" si="13"/>
        <v/>
      </c>
      <c r="AQ54" s="196" t="str">
        <f t="shared" si="26"/>
        <v/>
      </c>
      <c r="AR54" s="168" t="str">
        <f>IFS(AND(B54&gt;=DATE(2025,1,1), B54&lt;=DATE(2025,1,31)), AQ54/DDashboard!$C$2, AND(B54&gt;=DATE(2025,2,1), B54&lt;=DATE(2025,2,28)), AQ54/DDashboard!$C$3, AND(B54&gt;=DATE(2025,3,1), B54&lt;=DATE(2025,3,31)), AQ54/DDashboard!$C$4, AND(B54&gt;=DATE(2025,4,1), B54&lt;=DATE(2025,4,30)), AQ54/DDashboard!$C$5,AND(B54&gt;=DATE(2025,5,1), B54&lt;=DATE(2025,5,31)), AQ54/DDashboard!$C$6,AND(B54&gt;=DATE(2025,6,1), B54&lt;=DATE(2025,6,30)), AQ54/DDashboard!$C$7,AND(B54&gt;=DATE(2025,7,1), B54&lt;=DATE(2025,7,31)), AQ54/DDashboard!$C$8,AND(B54&gt;=DATE(2025,8,1), B54&lt;=DATE(2025,8,31)), AQ54/DDashboard!$C$9,AND(B54&gt;=DATE(2025,9,1), B54&lt;=DATE(2025,9,30)), AQ54/DDashboard!$C$10,AND(B54&gt;=DATE(2025,10,1), B54&lt;=DATE(2025,10,31)), AQ54/DDashboard!$C$11,AND(B54&gt;=DATE(2025,11,1), B54&lt;=DATE(2025,11,30)), AQ54/DDashboard!$C$12, AND(B54&gt;=DATE(2025,12,1), B54&lt;=DATE(2025,12,31)), AQ54/DDashboard!$C$13, True, "")
</f>
        <v/>
      </c>
      <c r="AS54" s="200" t="str">
        <f t="array" ref="AS54">IF(ISBLANK(C54), "", SUM($AR$9:AR54)
)</f>
        <v/>
      </c>
      <c r="AT54" s="169" t="b">
        <v>0</v>
      </c>
      <c r="AU54" s="169"/>
      <c r="AV54" s="169"/>
      <c r="AW54" s="169"/>
      <c r="AX54" s="387"/>
    </row>
    <row r="55">
      <c r="A55" s="389">
        <v>54.0</v>
      </c>
      <c r="B55" s="138"/>
      <c r="C55" s="139"/>
      <c r="D55" s="139"/>
      <c r="E55" s="141"/>
      <c r="F55" s="142"/>
      <c r="G55" s="398" t="str">
        <f t="shared" si="1"/>
        <v/>
      </c>
      <c r="H55" s="144"/>
      <c r="I55" s="144"/>
      <c r="J55" s="141"/>
      <c r="K55" s="145" t="str">
        <f>IFERROR(__xludf.DUMMYFUNCTION("IF(ISBLANK(C55), """", GOOGLEFINANCE(""NSE:"" &amp; C55,""price""))"),"")</f>
        <v/>
      </c>
      <c r="L55" s="146"/>
      <c r="M55" s="147"/>
      <c r="N55" s="148"/>
      <c r="O55" s="149"/>
      <c r="P55" s="150"/>
      <c r="Q55" s="377"/>
      <c r="R55" s="152"/>
      <c r="S55" s="150"/>
      <c r="T55" s="377"/>
      <c r="U55" s="153" t="str">
        <f t="shared" si="23"/>
        <v/>
      </c>
      <c r="V55" s="154" t="str">
        <f>IFS(AND(B55&gt;=DATE(2025,1,1), B55&lt;=DATE(2025,1,31)), U55/DDashboard!$C$2, AND(B55&gt;=DATE(2025,2,1), B55&lt;=DATE(2025,2,28)), U55/DDashboard!$C$3, AND(B55&gt;=DATE(2025,3,1), B55&lt;=DATE(2025,3,31)), U55/DDashboard!$C$4, AND(B55&gt;=DATE(2025,4,1), B55&lt;=DATE(2025,4,30)), U55/DDashboard!$C$5,AND(B55&gt;=DATE(2025,5,1), B55&lt;=DATE(2025,5,31)), U55/DDashboard!$C$6,AND(B55&gt;=DATE(2025,6,1), B55&lt;=DATE(2025,6,30)), U55/DDashboard!$C$7,AND(B55&gt;=DATE(2025,7,1), B55&lt;=DATE(2025,7,31)), U55/DDashboard!$C$8,AND(B55&gt;=DATE(2025,8,1), B55&lt;=DATE(2025,8,31)), U55/DDashboard!$C$9,AND(B55&gt;=DATE(2025,9,1), B55&lt;=DATE(2025,9,30)), U55/DDashboard!$C$10,AND(B55&gt;=DATE(2025,10,1), B55&lt;=DATE(2025,10,31)), U55/DDashboard!$C$11,AND(B55&gt;=DATE(2025,11,1), B55&lt;=DATE(2025,11,30)), U55/DDashboard!$C$12, AND(B55&gt;=DATE(2025,12,1), B55&lt;=DATE(2025,12,31)), U55/DDashboard!$C$13, True, "")
</f>
        <v/>
      </c>
      <c r="W55" s="65" t="str">
        <f t="shared" si="3"/>
        <v/>
      </c>
      <c r="X55" s="155"/>
      <c r="Y55" s="156"/>
      <c r="Z55" s="182"/>
      <c r="AA55" s="155"/>
      <c r="AB55" s="156"/>
      <c r="AC55" s="375"/>
      <c r="AD55" s="159"/>
      <c r="AE55" s="156"/>
      <c r="AF55" s="375"/>
      <c r="AG55" s="160" t="str">
        <f t="shared" si="4"/>
        <v/>
      </c>
      <c r="AH55" s="393" t="str">
        <f t="shared" si="5"/>
        <v/>
      </c>
      <c r="AI55" s="161" t="str">
        <f t="shared" si="24"/>
        <v/>
      </c>
      <c r="AJ55" s="365" t="str">
        <f t="shared" si="7"/>
        <v/>
      </c>
      <c r="AK55" s="162" t="str">
        <f t="shared" si="25"/>
        <v/>
      </c>
      <c r="AL55" s="161" t="str">
        <f t="shared" si="22"/>
        <v/>
      </c>
      <c r="AM55" s="163" t="str">
        <f>IF(AN55="", "", IF(AN55="Closed", IF(ISNUMBER(AF55), AF55-B55,IF(ISNUMBER(AC55), AC55-B55,IF(ISNUMBER(Z55), Z55-B55, ""))), TODAY()-B55))
</f>
        <v/>
      </c>
      <c r="AN55" s="381" t="str">
        <f t="shared" si="11"/>
        <v/>
      </c>
      <c r="AO55" s="366" t="str">
        <f t="shared" si="12"/>
        <v/>
      </c>
      <c r="AP55" s="166" t="str">
        <f t="shared" si="13"/>
        <v/>
      </c>
      <c r="AQ55" s="167" t="str">
        <f t="shared" si="26"/>
        <v/>
      </c>
      <c r="AR55" s="168" t="str">
        <f>IFS(AND(B55&gt;=DATE(2025,1,1), B55&lt;=DATE(2025,1,31)), AQ55/DDashboard!$C$2, AND(B55&gt;=DATE(2025,2,1), B55&lt;=DATE(2025,2,28)), AQ55/DDashboard!$C$3, AND(B55&gt;=DATE(2025,3,1), B55&lt;=DATE(2025,3,31)), AQ55/DDashboard!$C$4, AND(B55&gt;=DATE(2025,4,1), B55&lt;=DATE(2025,4,30)), AQ55/DDashboard!$C$5,AND(B55&gt;=DATE(2025,5,1), B55&lt;=DATE(2025,5,31)), AQ55/DDashboard!$C$6,AND(B55&gt;=DATE(2025,6,1), B55&lt;=DATE(2025,6,30)), AQ55/DDashboard!$C$7,AND(B55&gt;=DATE(2025,7,1), B55&lt;=DATE(2025,7,31)), AQ55/DDashboard!$C$8,AND(B55&gt;=DATE(2025,8,1), B55&lt;=DATE(2025,8,31)), AQ55/DDashboard!$C$9,AND(B55&gt;=DATE(2025,9,1), B55&lt;=DATE(2025,9,30)), AQ55/DDashboard!$C$10,AND(B55&gt;=DATE(2025,10,1), B55&lt;=DATE(2025,10,31)), AQ55/DDashboard!$C$11,AND(B55&gt;=DATE(2025,11,1), B55&lt;=DATE(2025,11,30)), AQ55/DDashboard!$C$12, AND(B55&gt;=DATE(2025,12,1), B55&lt;=DATE(2025,12,31)), AQ55/DDashboard!$C$13, True, "")
</f>
        <v/>
      </c>
      <c r="AS55" s="200" t="str">
        <f t="array" ref="AS55">IF(ISBLANK(C55), "", SUM($AR$9:AR55)
)</f>
        <v/>
      </c>
      <c r="AT55" s="169" t="b">
        <v>0</v>
      </c>
      <c r="AU55" s="169"/>
      <c r="AV55" s="169"/>
      <c r="AW55" s="169"/>
      <c r="AX55" s="183"/>
    </row>
    <row r="56">
      <c r="A56" s="388">
        <v>55.0</v>
      </c>
      <c r="B56" s="184"/>
      <c r="C56" s="185"/>
      <c r="D56" s="185"/>
      <c r="E56" s="185"/>
      <c r="F56" s="188"/>
      <c r="G56" s="397" t="str">
        <f t="shared" si="1"/>
        <v/>
      </c>
      <c r="H56" s="190"/>
      <c r="I56" s="190"/>
      <c r="J56" s="187"/>
      <c r="K56" s="145" t="str">
        <f>IFERROR(__xludf.DUMMYFUNCTION("IF(ISBLANK(C56), """", GOOGLEFINANCE(""NSE:"" &amp; C56,""price""))"),"")</f>
        <v/>
      </c>
      <c r="L56" s="213"/>
      <c r="M56" s="193"/>
      <c r="N56" s="194"/>
      <c r="O56" s="195"/>
      <c r="P56" s="196"/>
      <c r="Q56" s="376"/>
      <c r="R56" s="198"/>
      <c r="S56" s="196"/>
      <c r="T56" s="376"/>
      <c r="U56" s="199" t="str">
        <f t="shared" si="23"/>
        <v/>
      </c>
      <c r="V56" s="200" t="str">
        <f>IFS(AND(B56&gt;=DATE(2025,1,1), B56&lt;=DATE(2025,1,31)), U56/DDashboard!$C$2, AND(B56&gt;=DATE(2025,2,1), B56&lt;=DATE(2025,2,28)), U56/DDashboard!$C$3, AND(B56&gt;=DATE(2025,3,1), B56&lt;=DATE(2025,3,31)), U56/DDashboard!$C$4, AND(B56&gt;=DATE(2025,4,1), B56&lt;=DATE(2025,4,30)), U56/DDashboard!$C$5,AND(B56&gt;=DATE(2025,5,1), B56&lt;=DATE(2025,5,31)), U56/DDashboard!$C$6,AND(B56&gt;=DATE(2025,6,1), B56&lt;=DATE(2025,6,30)), U56/DDashboard!$C$7,AND(B56&gt;=DATE(2025,7,1), B56&lt;=DATE(2025,7,31)), U56/DDashboard!$C$8,AND(B56&gt;=DATE(2025,8,1), B56&lt;=DATE(2025,8,31)), U56/DDashboard!$C$9,AND(B56&gt;=DATE(2025,9,1), B56&lt;=DATE(2025,9,30)), U56/DDashboard!$C$10,AND(B56&gt;=DATE(2025,10,1), B56&lt;=DATE(2025,10,31)), U56/DDashboard!$C$11,AND(B56&gt;=DATE(2025,11,1), B56&lt;=DATE(2025,11,30)), U56/DDashboard!$C$12, AND(B56&gt;=DATE(2025,12,1), B56&lt;=DATE(2025,12,31)), U56/DDashboard!$C$13, True, "")
</f>
        <v/>
      </c>
      <c r="W56" s="201" t="str">
        <f t="shared" si="3"/>
        <v/>
      </c>
      <c r="X56" s="202"/>
      <c r="Y56" s="203"/>
      <c r="Z56" s="384"/>
      <c r="AA56" s="198"/>
      <c r="AB56" s="222"/>
      <c r="AC56" s="223"/>
      <c r="AD56" s="195"/>
      <c r="AE56" s="222"/>
      <c r="AF56" s="223"/>
      <c r="AG56" s="206" t="str">
        <f t="shared" si="4"/>
        <v/>
      </c>
      <c r="AH56" s="385" t="str">
        <f t="shared" si="5"/>
        <v/>
      </c>
      <c r="AI56" s="207" t="str">
        <f t="shared" si="24"/>
        <v/>
      </c>
      <c r="AJ56" s="367" t="str">
        <f t="shared" si="7"/>
        <v/>
      </c>
      <c r="AK56" s="208" t="str">
        <f t="shared" si="25"/>
        <v/>
      </c>
      <c r="AL56" s="207" t="str">
        <f t="shared" si="22"/>
        <v/>
      </c>
      <c r="AM56" s="209" t="str">
        <f>IF(AN56="", "", IF(AN56="Closed", 
    IF(ISNUMBER(AF56), AF56-B56,
        IF(ISNUMBER(AC56), AC56-B56,
            IF(ISNUMBER(Z56), Z56-B56, "")
        )
    ), 
    TODAY()-B56))</f>
        <v/>
      </c>
      <c r="AN56" s="386" t="str">
        <f t="shared" si="11"/>
        <v/>
      </c>
      <c r="AO56" s="366" t="str">
        <f t="shared" si="12"/>
        <v/>
      </c>
      <c r="AP56" s="210" t="str">
        <f t="shared" si="13"/>
        <v/>
      </c>
      <c r="AQ56" s="196" t="str">
        <f t="shared" si="26"/>
        <v/>
      </c>
      <c r="AR56" s="168" t="str">
        <f>IFS(AND(B56&gt;=DATE(2025,1,1), B56&lt;=DATE(2025,1,31)), AQ56/DDashboard!$C$2, AND(B56&gt;=DATE(2025,2,1), B56&lt;=DATE(2025,2,28)), AQ56/DDashboard!$C$3, AND(B56&gt;=DATE(2025,3,1), B56&lt;=DATE(2025,3,31)), AQ56/DDashboard!$C$4, AND(B56&gt;=DATE(2025,4,1), B56&lt;=DATE(2025,4,30)), AQ56/DDashboard!$C$5,AND(B56&gt;=DATE(2025,5,1), B56&lt;=DATE(2025,5,31)), AQ56/DDashboard!$C$6,AND(B56&gt;=DATE(2025,6,1), B56&lt;=DATE(2025,6,30)), AQ56/DDashboard!$C$7,AND(B56&gt;=DATE(2025,7,1), B56&lt;=DATE(2025,7,31)), AQ56/DDashboard!$C$8,AND(B56&gt;=DATE(2025,8,1), B56&lt;=DATE(2025,8,31)), AQ56/DDashboard!$C$9,AND(B56&gt;=DATE(2025,9,1), B56&lt;=DATE(2025,9,30)), AQ56/DDashboard!$C$10,AND(B56&gt;=DATE(2025,10,1), B56&lt;=DATE(2025,10,31)), AQ56/DDashboard!$C$11,AND(B56&gt;=DATE(2025,11,1), B56&lt;=DATE(2025,11,30)), AQ56/DDashboard!$C$12, AND(B56&gt;=DATE(2025,12,1), B56&lt;=DATE(2025,12,31)), AQ56/DDashboard!$C$13, True, "")
</f>
        <v/>
      </c>
      <c r="AS56" s="200" t="str">
        <f t="array" ref="AS56">IF(ISBLANK(C56), "", SUM($AR$9:AR56)
)</f>
        <v/>
      </c>
      <c r="AT56" s="169" t="b">
        <v>0</v>
      </c>
      <c r="AU56" s="169"/>
      <c r="AV56" s="169"/>
      <c r="AW56" s="169"/>
      <c r="AX56" s="387"/>
    </row>
    <row r="57">
      <c r="A57" s="389">
        <v>56.0</v>
      </c>
      <c r="B57" s="138"/>
      <c r="C57" s="139"/>
      <c r="D57" s="139"/>
      <c r="E57" s="139"/>
      <c r="F57" s="142"/>
      <c r="G57" s="398" t="str">
        <f t="shared" si="1"/>
        <v/>
      </c>
      <c r="H57" s="144"/>
      <c r="I57" s="144"/>
      <c r="J57" s="141"/>
      <c r="K57" s="145" t="str">
        <f>IFERROR(__xludf.DUMMYFUNCTION("IF(ISBLANK(C57), """", GOOGLEFINANCE(""NSE:"" &amp; C57,""price""))"),"")</f>
        <v/>
      </c>
      <c r="L57" s="146"/>
      <c r="M57" s="147"/>
      <c r="N57" s="148"/>
      <c r="O57" s="149"/>
      <c r="P57" s="150"/>
      <c r="Q57" s="377"/>
      <c r="R57" s="152"/>
      <c r="S57" s="150"/>
      <c r="T57" s="377"/>
      <c r="U57" s="153" t="str">
        <f t="shared" si="23"/>
        <v/>
      </c>
      <c r="V57" s="154" t="str">
        <f>IFS(AND(B57&gt;=DATE(2025,1,1), B57&lt;=DATE(2025,1,31)), U57/DDashboard!$C$2, AND(B57&gt;=DATE(2025,2,1), B57&lt;=DATE(2025,2,28)), U57/DDashboard!$C$3, AND(B57&gt;=DATE(2025,3,1), B57&lt;=DATE(2025,3,31)), U57/DDashboard!$C$4, AND(B57&gt;=DATE(2025,4,1), B57&lt;=DATE(2025,4,30)), U57/DDashboard!$C$5,AND(B57&gt;=DATE(2025,5,1), B57&lt;=DATE(2025,5,31)), U57/DDashboard!$C$6,AND(B57&gt;=DATE(2025,6,1), B57&lt;=DATE(2025,6,30)), U57/DDashboard!$C$7,AND(B57&gt;=DATE(2025,7,1), B57&lt;=DATE(2025,7,31)), U57/DDashboard!$C$8,AND(B57&gt;=DATE(2025,8,1), B57&lt;=DATE(2025,8,31)), U57/DDashboard!$C$9,AND(B57&gt;=DATE(2025,9,1), B57&lt;=DATE(2025,9,30)), U57/DDashboard!$C$10,AND(B57&gt;=DATE(2025,10,1), B57&lt;=DATE(2025,10,31)), U57/DDashboard!$C$11,AND(B57&gt;=DATE(2025,11,1), B57&lt;=DATE(2025,11,30)), U57/DDashboard!$C$12, AND(B57&gt;=DATE(2025,12,1), B57&lt;=DATE(2025,12,31)), U57/DDashboard!$C$13, True, "")
</f>
        <v/>
      </c>
      <c r="W57" s="65" t="str">
        <f t="shared" si="3"/>
        <v/>
      </c>
      <c r="X57" s="155"/>
      <c r="Y57" s="156"/>
      <c r="Z57" s="182"/>
      <c r="AA57" s="390"/>
      <c r="AB57" s="359"/>
      <c r="AC57" s="360"/>
      <c r="AD57" s="358"/>
      <c r="AE57" s="359"/>
      <c r="AF57" s="360"/>
      <c r="AG57" s="160" t="str">
        <f t="shared" si="4"/>
        <v/>
      </c>
      <c r="AH57" s="393" t="str">
        <f t="shared" si="5"/>
        <v/>
      </c>
      <c r="AI57" s="161" t="str">
        <f t="shared" si="24"/>
        <v/>
      </c>
      <c r="AJ57" s="365" t="str">
        <f t="shared" si="7"/>
        <v/>
      </c>
      <c r="AK57" s="162" t="str">
        <f t="shared" si="25"/>
        <v/>
      </c>
      <c r="AL57" s="161" t="str">
        <f t="shared" si="22"/>
        <v/>
      </c>
      <c r="AM57" s="163" t="str">
        <f>IF(AN57="", "", IF(AN57="Closed", IF(ISNUMBER(AF57), AF57-B57,IF(ISNUMBER(AC57), AC57-B57,IF(ISNUMBER(Z57), Z57-B57, ""))), TODAY()-B57))
</f>
        <v/>
      </c>
      <c r="AN57" s="381" t="str">
        <f t="shared" si="11"/>
        <v/>
      </c>
      <c r="AO57" s="366" t="str">
        <f t="shared" si="12"/>
        <v/>
      </c>
      <c r="AP57" s="166" t="str">
        <f t="shared" si="13"/>
        <v/>
      </c>
      <c r="AQ57" s="167" t="str">
        <f t="shared" si="26"/>
        <v/>
      </c>
      <c r="AR57" s="168" t="str">
        <f>IFS(AND(B57&gt;=DATE(2025,1,1), B57&lt;=DATE(2025,1,31)), AQ57/DDashboard!$C$2, AND(B57&gt;=DATE(2025,2,1), B57&lt;=DATE(2025,2,28)), AQ57/DDashboard!$C$3, AND(B57&gt;=DATE(2025,3,1), B57&lt;=DATE(2025,3,31)), AQ57/DDashboard!$C$4, AND(B57&gt;=DATE(2025,4,1), B57&lt;=DATE(2025,4,30)), AQ57/DDashboard!$C$5,AND(B57&gt;=DATE(2025,5,1), B57&lt;=DATE(2025,5,31)), AQ57/DDashboard!$C$6,AND(B57&gt;=DATE(2025,6,1), B57&lt;=DATE(2025,6,30)), AQ57/DDashboard!$C$7,AND(B57&gt;=DATE(2025,7,1), B57&lt;=DATE(2025,7,31)), AQ57/DDashboard!$C$8,AND(B57&gt;=DATE(2025,8,1), B57&lt;=DATE(2025,8,31)), AQ57/DDashboard!$C$9,AND(B57&gt;=DATE(2025,9,1), B57&lt;=DATE(2025,9,30)), AQ57/DDashboard!$C$10,AND(B57&gt;=DATE(2025,10,1), B57&lt;=DATE(2025,10,31)), AQ57/DDashboard!$C$11,AND(B57&gt;=DATE(2025,11,1), B57&lt;=DATE(2025,11,30)), AQ57/DDashboard!$C$12, AND(B57&gt;=DATE(2025,12,1), B57&lt;=DATE(2025,12,31)), AQ57/DDashboard!$C$13, True, "")
</f>
        <v/>
      </c>
      <c r="AS57" s="200" t="str">
        <f t="array" ref="AS57">IF(ISBLANK(C57), "", SUM($AR$9:AR57)
)</f>
        <v/>
      </c>
      <c r="AT57" s="169" t="b">
        <v>0</v>
      </c>
      <c r="AU57" s="169"/>
      <c r="AV57" s="169"/>
      <c r="AW57" s="169"/>
      <c r="AX57" s="383"/>
    </row>
    <row r="58">
      <c r="A58" s="388">
        <v>57.0</v>
      </c>
      <c r="B58" s="184"/>
      <c r="C58" s="185"/>
      <c r="D58" s="185"/>
      <c r="E58" s="185"/>
      <c r="F58" s="188"/>
      <c r="G58" s="397" t="str">
        <f t="shared" si="1"/>
        <v/>
      </c>
      <c r="H58" s="190"/>
      <c r="I58" s="190"/>
      <c r="J58" s="187"/>
      <c r="K58" s="145" t="str">
        <f>IFERROR(__xludf.DUMMYFUNCTION("IF(ISBLANK(C58), """", GOOGLEFINANCE(""NSE:"" &amp; C58,""price""))"),"")</f>
        <v/>
      </c>
      <c r="L58" s="213"/>
      <c r="M58" s="193"/>
      <c r="N58" s="194"/>
      <c r="O58" s="205"/>
      <c r="P58" s="228"/>
      <c r="Q58" s="370"/>
      <c r="R58" s="202"/>
      <c r="S58" s="228"/>
      <c r="T58" s="370"/>
      <c r="U58" s="199" t="str">
        <f t="shared" si="23"/>
        <v/>
      </c>
      <c r="V58" s="200" t="str">
        <f>IFS(AND(B58&gt;=DATE(2025,1,1), B58&lt;=DATE(2025,1,31)), U58/DDashboard!$C$2, AND(B58&gt;=DATE(2025,2,1), B58&lt;=DATE(2025,2,28)), U58/DDashboard!$C$3, AND(B58&gt;=DATE(2025,3,1), B58&lt;=DATE(2025,3,31)), U58/DDashboard!$C$4, AND(B58&gt;=DATE(2025,4,1), B58&lt;=DATE(2025,4,30)), U58/DDashboard!$C$5,AND(B58&gt;=DATE(2025,5,1), B58&lt;=DATE(2025,5,31)), U58/DDashboard!$C$6,AND(B58&gt;=DATE(2025,6,1), B58&lt;=DATE(2025,6,30)), U58/DDashboard!$C$7,AND(B58&gt;=DATE(2025,7,1), B58&lt;=DATE(2025,7,31)), U58/DDashboard!$C$8,AND(B58&gt;=DATE(2025,8,1), B58&lt;=DATE(2025,8,31)), U58/DDashboard!$C$9,AND(B58&gt;=DATE(2025,9,1), B58&lt;=DATE(2025,9,30)), U58/DDashboard!$C$10,AND(B58&gt;=DATE(2025,10,1), B58&lt;=DATE(2025,10,31)), U58/DDashboard!$C$11,AND(B58&gt;=DATE(2025,11,1), B58&lt;=DATE(2025,11,30)), U58/DDashboard!$C$12, AND(B58&gt;=DATE(2025,12,1), B58&lt;=DATE(2025,12,31)), U58/DDashboard!$C$13, True, "")
</f>
        <v/>
      </c>
      <c r="W58" s="201" t="str">
        <f t="shared" si="3"/>
        <v/>
      </c>
      <c r="X58" s="202"/>
      <c r="Y58" s="203"/>
      <c r="Z58" s="384"/>
      <c r="AA58" s="202"/>
      <c r="AB58" s="203"/>
      <c r="AC58" s="372"/>
      <c r="AD58" s="195"/>
      <c r="AE58" s="222"/>
      <c r="AF58" s="223"/>
      <c r="AG58" s="206" t="str">
        <f t="shared" si="4"/>
        <v/>
      </c>
      <c r="AH58" s="385" t="str">
        <f t="shared" si="5"/>
        <v/>
      </c>
      <c r="AI58" s="207" t="str">
        <f t="shared" si="24"/>
        <v/>
      </c>
      <c r="AJ58" s="367" t="str">
        <f t="shared" si="7"/>
        <v/>
      </c>
      <c r="AK58" s="208" t="str">
        <f t="shared" si="25"/>
        <v/>
      </c>
      <c r="AL58" s="207" t="str">
        <f t="shared" si="22"/>
        <v/>
      </c>
      <c r="AM58" s="209" t="str">
        <f>IF(AN58="", "", IF(AN58="Closed", 
    IF(ISNUMBER(AF58), AF58-B58,
        IF(ISNUMBER(AC58), AC58-B58,
            IF(ISNUMBER(Z58), Z58-B58, "")
        )
    ), 
    TODAY()-B58))</f>
        <v/>
      </c>
      <c r="AN58" s="386" t="str">
        <f t="shared" si="11"/>
        <v/>
      </c>
      <c r="AO58" s="366" t="str">
        <f t="shared" si="12"/>
        <v/>
      </c>
      <c r="AP58" s="210" t="str">
        <f t="shared" si="13"/>
        <v/>
      </c>
      <c r="AQ58" s="196" t="str">
        <f t="shared" si="26"/>
        <v/>
      </c>
      <c r="AR58" s="168" t="str">
        <f>IFS(AND(B58&gt;=DATE(2025,1,1), B58&lt;=DATE(2025,1,31)), AQ58/DDashboard!$C$2, AND(B58&gt;=DATE(2025,2,1), B58&lt;=DATE(2025,2,28)), AQ58/DDashboard!$C$3, AND(B58&gt;=DATE(2025,3,1), B58&lt;=DATE(2025,3,31)), AQ58/DDashboard!$C$4, AND(B58&gt;=DATE(2025,4,1), B58&lt;=DATE(2025,4,30)), AQ58/DDashboard!$C$5,AND(B58&gt;=DATE(2025,5,1), B58&lt;=DATE(2025,5,31)), AQ58/DDashboard!$C$6,AND(B58&gt;=DATE(2025,6,1), B58&lt;=DATE(2025,6,30)), AQ58/DDashboard!$C$7,AND(B58&gt;=DATE(2025,7,1), B58&lt;=DATE(2025,7,31)), AQ58/DDashboard!$C$8,AND(B58&gt;=DATE(2025,8,1), B58&lt;=DATE(2025,8,31)), AQ58/DDashboard!$C$9,AND(B58&gt;=DATE(2025,9,1), B58&lt;=DATE(2025,9,30)), AQ58/DDashboard!$C$10,AND(B58&gt;=DATE(2025,10,1), B58&lt;=DATE(2025,10,31)), AQ58/DDashboard!$C$11,AND(B58&gt;=DATE(2025,11,1), B58&lt;=DATE(2025,11,30)), AQ58/DDashboard!$C$12, AND(B58&gt;=DATE(2025,12,1), B58&lt;=DATE(2025,12,31)), AQ58/DDashboard!$C$13, True, "")
</f>
        <v/>
      </c>
      <c r="AS58" s="200" t="str">
        <f t="array" ref="AS58">IF(ISBLANK(C58), "", SUM($AR$9:AR58)
)</f>
        <v/>
      </c>
      <c r="AT58" s="169" t="b">
        <v>0</v>
      </c>
      <c r="AU58" s="169"/>
      <c r="AV58" s="169"/>
      <c r="AW58" s="169"/>
      <c r="AX58" s="32"/>
    </row>
    <row r="59">
      <c r="A59" s="389">
        <v>58.0</v>
      </c>
      <c r="B59" s="138"/>
      <c r="C59" s="139"/>
      <c r="D59" s="139"/>
      <c r="E59" s="139"/>
      <c r="F59" s="142"/>
      <c r="G59" s="398" t="str">
        <f t="shared" si="1"/>
        <v/>
      </c>
      <c r="H59" s="144"/>
      <c r="I59" s="144"/>
      <c r="J59" s="141"/>
      <c r="K59" s="145" t="str">
        <f>IFERROR(__xludf.DUMMYFUNCTION("IF(ISBLANK(C59), """", GOOGLEFINANCE(""NSE:"" &amp; C59,""price""))"),"")</f>
        <v/>
      </c>
      <c r="L59" s="146"/>
      <c r="M59" s="147"/>
      <c r="N59" s="148"/>
      <c r="O59" s="149"/>
      <c r="P59" s="150"/>
      <c r="Q59" s="377"/>
      <c r="R59" s="152"/>
      <c r="S59" s="150"/>
      <c r="T59" s="377"/>
      <c r="U59" s="153" t="str">
        <f t="shared" si="23"/>
        <v/>
      </c>
      <c r="V59" s="154" t="str">
        <f>IFS(AND(B59&gt;=DATE(2025,1,1), B59&lt;=DATE(2025,1,31)), U59/DDashboard!$C$2, AND(B59&gt;=DATE(2025,2,1), B59&lt;=DATE(2025,2,28)), U59/DDashboard!$C$3, AND(B59&gt;=DATE(2025,3,1), B59&lt;=DATE(2025,3,31)), U59/DDashboard!$C$4, AND(B59&gt;=DATE(2025,4,1), B59&lt;=DATE(2025,4,30)), U59/DDashboard!$C$5,AND(B59&gt;=DATE(2025,5,1), B59&lt;=DATE(2025,5,31)), U59/DDashboard!$C$6,AND(B59&gt;=DATE(2025,6,1), B59&lt;=DATE(2025,6,30)), U59/DDashboard!$C$7,AND(B59&gt;=DATE(2025,7,1), B59&lt;=DATE(2025,7,31)), U59/DDashboard!$C$8,AND(B59&gt;=DATE(2025,8,1), B59&lt;=DATE(2025,8,31)), U59/DDashboard!$C$9,AND(B59&gt;=DATE(2025,9,1), B59&lt;=DATE(2025,9,30)), U59/DDashboard!$C$10,AND(B59&gt;=DATE(2025,10,1), B59&lt;=DATE(2025,10,31)), U59/DDashboard!$C$11,AND(B59&gt;=DATE(2025,11,1), B59&lt;=DATE(2025,11,30)), U59/DDashboard!$C$12, AND(B59&gt;=DATE(2025,12,1), B59&lt;=DATE(2025,12,31)), U59/DDashboard!$C$13, True, "")
</f>
        <v/>
      </c>
      <c r="W59" s="65" t="str">
        <f t="shared" si="3"/>
        <v/>
      </c>
      <c r="X59" s="155"/>
      <c r="Y59" s="156"/>
      <c r="Z59" s="182"/>
      <c r="AA59" s="390"/>
      <c r="AB59" s="359"/>
      <c r="AC59" s="360"/>
      <c r="AD59" s="358"/>
      <c r="AE59" s="359"/>
      <c r="AF59" s="360"/>
      <c r="AG59" s="160" t="str">
        <f t="shared" si="4"/>
        <v/>
      </c>
      <c r="AH59" s="393" t="str">
        <f t="shared" si="5"/>
        <v/>
      </c>
      <c r="AI59" s="161" t="str">
        <f t="shared" si="24"/>
        <v/>
      </c>
      <c r="AJ59" s="365" t="str">
        <f t="shared" si="7"/>
        <v/>
      </c>
      <c r="AK59" s="162" t="str">
        <f t="shared" si="25"/>
        <v/>
      </c>
      <c r="AL59" s="161" t="str">
        <f t="shared" si="22"/>
        <v/>
      </c>
      <c r="AM59" s="163" t="str">
        <f>IF(AN59="", "", IF(AN59="Closed", IF(ISNUMBER(AF59), AF59-B59,IF(ISNUMBER(AC59), AC59-B59,IF(ISNUMBER(Z59), Z59-B59, ""))), TODAY()-B59))
</f>
        <v/>
      </c>
      <c r="AN59" s="381" t="str">
        <f t="shared" si="11"/>
        <v/>
      </c>
      <c r="AO59" s="366" t="str">
        <f t="shared" si="12"/>
        <v/>
      </c>
      <c r="AP59" s="166" t="str">
        <f t="shared" si="13"/>
        <v/>
      </c>
      <c r="AQ59" s="167" t="str">
        <f t="shared" si="26"/>
        <v/>
      </c>
      <c r="AR59" s="168" t="str">
        <f>IFS(AND(B59&gt;=DATE(2025,1,1), B59&lt;=DATE(2025,1,31)), AQ59/DDashboard!$C$2, AND(B59&gt;=DATE(2025,2,1), B59&lt;=DATE(2025,2,28)), AQ59/DDashboard!$C$3, AND(B59&gt;=DATE(2025,3,1), B59&lt;=DATE(2025,3,31)), AQ59/DDashboard!$C$4, AND(B59&gt;=DATE(2025,4,1), B59&lt;=DATE(2025,4,30)), AQ59/DDashboard!$C$5,AND(B59&gt;=DATE(2025,5,1), B59&lt;=DATE(2025,5,31)), AQ59/DDashboard!$C$6,AND(B59&gt;=DATE(2025,6,1), B59&lt;=DATE(2025,6,30)), AQ59/DDashboard!$C$7,AND(B59&gt;=DATE(2025,7,1), B59&lt;=DATE(2025,7,31)), AQ59/DDashboard!$C$8,AND(B59&gt;=DATE(2025,8,1), B59&lt;=DATE(2025,8,31)), AQ59/DDashboard!$C$9,AND(B59&gt;=DATE(2025,9,1), B59&lt;=DATE(2025,9,30)), AQ59/DDashboard!$C$10,AND(B59&gt;=DATE(2025,10,1), B59&lt;=DATE(2025,10,31)), AQ59/DDashboard!$C$11,AND(B59&gt;=DATE(2025,11,1), B59&lt;=DATE(2025,11,30)), AQ59/DDashboard!$C$12, AND(B59&gt;=DATE(2025,12,1), B59&lt;=DATE(2025,12,31)), AQ59/DDashboard!$C$13, True, "")
</f>
        <v/>
      </c>
      <c r="AS59" s="200" t="str">
        <f t="array" ref="AS59">IF(ISBLANK(C59), "", SUM($AR$9:AR59)
)</f>
        <v/>
      </c>
      <c r="AT59" s="169" t="b">
        <v>0</v>
      </c>
      <c r="AU59" s="169"/>
      <c r="AV59" s="169"/>
      <c r="AW59" s="169"/>
      <c r="AX59" s="383"/>
    </row>
    <row r="60">
      <c r="A60" s="388">
        <v>59.0</v>
      </c>
      <c r="B60" s="184"/>
      <c r="C60" s="185"/>
      <c r="D60" s="185"/>
      <c r="E60" s="185"/>
      <c r="F60" s="188"/>
      <c r="G60" s="397" t="str">
        <f t="shared" si="1"/>
        <v/>
      </c>
      <c r="H60" s="190"/>
      <c r="I60" s="190"/>
      <c r="J60" s="187"/>
      <c r="K60" s="145" t="str">
        <f>IFERROR(__xludf.DUMMYFUNCTION("IF(ISBLANK(C60), """", GOOGLEFINANCE(""NSE:"" &amp; C60,""price""))"),"")</f>
        <v/>
      </c>
      <c r="L60" s="213"/>
      <c r="M60" s="193"/>
      <c r="N60" s="194"/>
      <c r="O60" s="195"/>
      <c r="P60" s="196"/>
      <c r="Q60" s="376"/>
      <c r="R60" s="198"/>
      <c r="S60" s="196"/>
      <c r="T60" s="376"/>
      <c r="U60" s="199" t="str">
        <f t="shared" si="23"/>
        <v/>
      </c>
      <c r="V60" s="200" t="str">
        <f>IFS(AND(B60&gt;=DATE(2025,1,1), B60&lt;=DATE(2025,1,31)), U60/DDashboard!$C$2, AND(B60&gt;=DATE(2025,2,1), B60&lt;=DATE(2025,2,28)), U60/DDashboard!$C$3, AND(B60&gt;=DATE(2025,3,1), B60&lt;=DATE(2025,3,31)), U60/DDashboard!$C$4, AND(B60&gt;=DATE(2025,4,1), B60&lt;=DATE(2025,4,30)), U60/DDashboard!$C$5,AND(B60&gt;=DATE(2025,5,1), B60&lt;=DATE(2025,5,31)), U60/DDashboard!$C$6,AND(B60&gt;=DATE(2025,6,1), B60&lt;=DATE(2025,6,30)), U60/DDashboard!$C$7,AND(B60&gt;=DATE(2025,7,1), B60&lt;=DATE(2025,7,31)), U60/DDashboard!$C$8,AND(B60&gt;=DATE(2025,8,1), B60&lt;=DATE(2025,8,31)), U60/DDashboard!$C$9,AND(B60&gt;=DATE(2025,9,1), B60&lt;=DATE(2025,9,30)), U60/DDashboard!$C$10,AND(B60&gt;=DATE(2025,10,1), B60&lt;=DATE(2025,10,31)), U60/DDashboard!$C$11,AND(B60&gt;=DATE(2025,11,1), B60&lt;=DATE(2025,11,30)), U60/DDashboard!$C$12, AND(B60&gt;=DATE(2025,12,1), B60&lt;=DATE(2025,12,31)), U60/DDashboard!$C$13, True, "")
</f>
        <v/>
      </c>
      <c r="W60" s="201" t="str">
        <f t="shared" si="3"/>
        <v/>
      </c>
      <c r="X60" s="202"/>
      <c r="Y60" s="203"/>
      <c r="Z60" s="384"/>
      <c r="AA60" s="198"/>
      <c r="AB60" s="222"/>
      <c r="AC60" s="223"/>
      <c r="AD60" s="195"/>
      <c r="AE60" s="222"/>
      <c r="AF60" s="223"/>
      <c r="AG60" s="206" t="str">
        <f t="shared" si="4"/>
        <v/>
      </c>
      <c r="AH60" s="385" t="str">
        <f t="shared" si="5"/>
        <v/>
      </c>
      <c r="AI60" s="207" t="str">
        <f t="shared" si="24"/>
        <v/>
      </c>
      <c r="AJ60" s="367" t="str">
        <f t="shared" si="7"/>
        <v/>
      </c>
      <c r="AK60" s="208" t="str">
        <f t="shared" si="25"/>
        <v/>
      </c>
      <c r="AL60" s="207" t="str">
        <f t="shared" si="22"/>
        <v/>
      </c>
      <c r="AM60" s="209" t="str">
        <f>IF(AN60="", "", IF(AN60="Closed", 
    IF(ISNUMBER(AF60), AF60-B60,
        IF(ISNUMBER(AC60), AC60-B60,
            IF(ISNUMBER(Z60), Z60-B60, "")
        )
    ), 
    TODAY()-B60))</f>
        <v/>
      </c>
      <c r="AN60" s="386" t="str">
        <f t="shared" si="11"/>
        <v/>
      </c>
      <c r="AO60" s="366" t="str">
        <f t="shared" si="12"/>
        <v/>
      </c>
      <c r="AP60" s="210" t="str">
        <f t="shared" si="13"/>
        <v/>
      </c>
      <c r="AQ60" s="196" t="str">
        <f t="shared" si="26"/>
        <v/>
      </c>
      <c r="AR60" s="168" t="str">
        <f>IFS(AND(B60&gt;=DATE(2025,1,1), B60&lt;=DATE(2025,1,31)), AQ60/DDashboard!$C$2, AND(B60&gt;=DATE(2025,2,1), B60&lt;=DATE(2025,2,28)), AQ60/DDashboard!$C$3, AND(B60&gt;=DATE(2025,3,1), B60&lt;=DATE(2025,3,31)), AQ60/DDashboard!$C$4, AND(B60&gt;=DATE(2025,4,1), B60&lt;=DATE(2025,4,30)), AQ60/DDashboard!$C$5,AND(B60&gt;=DATE(2025,5,1), B60&lt;=DATE(2025,5,31)), AQ60/DDashboard!$C$6,AND(B60&gt;=DATE(2025,6,1), B60&lt;=DATE(2025,6,30)), AQ60/DDashboard!$C$7,AND(B60&gt;=DATE(2025,7,1), B60&lt;=DATE(2025,7,31)), AQ60/DDashboard!$C$8,AND(B60&gt;=DATE(2025,8,1), B60&lt;=DATE(2025,8,31)), AQ60/DDashboard!$C$9,AND(B60&gt;=DATE(2025,9,1), B60&lt;=DATE(2025,9,30)), AQ60/DDashboard!$C$10,AND(B60&gt;=DATE(2025,10,1), B60&lt;=DATE(2025,10,31)), AQ60/DDashboard!$C$11,AND(B60&gt;=DATE(2025,11,1), B60&lt;=DATE(2025,11,30)), AQ60/DDashboard!$C$12, AND(B60&gt;=DATE(2025,12,1), B60&lt;=DATE(2025,12,31)), AQ60/DDashboard!$C$13, True, "")
</f>
        <v/>
      </c>
      <c r="AS60" s="200" t="str">
        <f t="array" ref="AS60">IF(ISBLANK(C60), "", SUM($AR$9:AR60)
)</f>
        <v/>
      </c>
      <c r="AT60" s="169" t="b">
        <v>0</v>
      </c>
      <c r="AU60" s="169"/>
      <c r="AV60" s="169"/>
      <c r="AW60" s="169"/>
      <c r="AX60" s="32"/>
    </row>
    <row r="61">
      <c r="A61" s="389">
        <v>60.0</v>
      </c>
      <c r="B61" s="138"/>
      <c r="C61" s="139"/>
      <c r="D61" s="139"/>
      <c r="E61" s="139"/>
      <c r="F61" s="142"/>
      <c r="G61" s="398" t="str">
        <f t="shared" si="1"/>
        <v/>
      </c>
      <c r="H61" s="144"/>
      <c r="I61" s="144"/>
      <c r="J61" s="141"/>
      <c r="K61" s="145" t="str">
        <f>IFERROR(__xludf.DUMMYFUNCTION("IF(ISBLANK(C61), """", GOOGLEFINANCE(""NSE:"" &amp; C61,""price""))"),"")</f>
        <v/>
      </c>
      <c r="L61" s="146"/>
      <c r="M61" s="147"/>
      <c r="N61" s="148"/>
      <c r="O61" s="149"/>
      <c r="P61" s="150"/>
      <c r="Q61" s="377"/>
      <c r="R61" s="152"/>
      <c r="S61" s="150"/>
      <c r="T61" s="377"/>
      <c r="U61" s="153" t="str">
        <f t="shared" si="23"/>
        <v/>
      </c>
      <c r="V61" s="154" t="str">
        <f>IFS(AND(B61&gt;=DATE(2025,1,1), B61&lt;=DATE(2025,1,31)), U61/DDashboard!$C$2, AND(B61&gt;=DATE(2025,2,1), B61&lt;=DATE(2025,2,28)), U61/DDashboard!$C$3, AND(B61&gt;=DATE(2025,3,1), B61&lt;=DATE(2025,3,31)), U61/DDashboard!$C$4, AND(B61&gt;=DATE(2025,4,1), B61&lt;=DATE(2025,4,30)), U61/DDashboard!$C$5,AND(B61&gt;=DATE(2025,5,1), B61&lt;=DATE(2025,5,31)), U61/DDashboard!$C$6,AND(B61&gt;=DATE(2025,6,1), B61&lt;=DATE(2025,6,30)), U61/DDashboard!$C$7,AND(B61&gt;=DATE(2025,7,1), B61&lt;=DATE(2025,7,31)), U61/DDashboard!$C$8,AND(B61&gt;=DATE(2025,8,1), B61&lt;=DATE(2025,8,31)), U61/DDashboard!$C$9,AND(B61&gt;=DATE(2025,9,1), B61&lt;=DATE(2025,9,30)), U61/DDashboard!$C$10,AND(B61&gt;=DATE(2025,10,1), B61&lt;=DATE(2025,10,31)), U61/DDashboard!$C$11,AND(B61&gt;=DATE(2025,11,1), B61&lt;=DATE(2025,11,30)), U61/DDashboard!$C$12, AND(B61&gt;=DATE(2025,12,1), B61&lt;=DATE(2025,12,31)), U61/DDashboard!$C$13, True, "")
</f>
        <v/>
      </c>
      <c r="W61" s="65" t="str">
        <f t="shared" si="3"/>
        <v/>
      </c>
      <c r="X61" s="155"/>
      <c r="Y61" s="156"/>
      <c r="Z61" s="182"/>
      <c r="AA61" s="155"/>
      <c r="AB61" s="156"/>
      <c r="AC61" s="158"/>
      <c r="AD61" s="358"/>
      <c r="AE61" s="359"/>
      <c r="AF61" s="360"/>
      <c r="AG61" s="160" t="str">
        <f t="shared" si="4"/>
        <v/>
      </c>
      <c r="AH61" s="393" t="str">
        <f t="shared" si="5"/>
        <v/>
      </c>
      <c r="AI61" s="161" t="str">
        <f t="shared" si="24"/>
        <v/>
      </c>
      <c r="AJ61" s="365" t="str">
        <f t="shared" si="7"/>
        <v/>
      </c>
      <c r="AK61" s="162" t="str">
        <f t="shared" si="25"/>
        <v/>
      </c>
      <c r="AL61" s="161" t="str">
        <f t="shared" si="22"/>
        <v/>
      </c>
      <c r="AM61" s="163" t="str">
        <f>IF(AN61="", "", IF(AN61="Closed", IF(ISNUMBER(AF61), AF61-B61,IF(ISNUMBER(AC61), AC61-B61,IF(ISNUMBER(Z61), Z61-B61, ""))), TODAY()-B61))
</f>
        <v/>
      </c>
      <c r="AN61" s="381" t="str">
        <f t="shared" si="11"/>
        <v/>
      </c>
      <c r="AO61" s="366" t="str">
        <f t="shared" si="12"/>
        <v/>
      </c>
      <c r="AP61" s="166" t="str">
        <f t="shared" si="13"/>
        <v/>
      </c>
      <c r="AQ61" s="167" t="str">
        <f t="shared" si="26"/>
        <v/>
      </c>
      <c r="AR61" s="168" t="str">
        <f>IFS(AND(B61&gt;=DATE(2025,1,1), B61&lt;=DATE(2025,1,31)), AQ61/DDashboard!$C$2, AND(B61&gt;=DATE(2025,2,1), B61&lt;=DATE(2025,2,28)), AQ61/DDashboard!$C$3, AND(B61&gt;=DATE(2025,3,1), B61&lt;=DATE(2025,3,31)), AQ61/DDashboard!$C$4, AND(B61&gt;=DATE(2025,4,1), B61&lt;=DATE(2025,4,30)), AQ61/DDashboard!$C$5,AND(B61&gt;=DATE(2025,5,1), B61&lt;=DATE(2025,5,31)), AQ61/DDashboard!$C$6,AND(B61&gt;=DATE(2025,6,1), B61&lt;=DATE(2025,6,30)), AQ61/DDashboard!$C$7,AND(B61&gt;=DATE(2025,7,1), B61&lt;=DATE(2025,7,31)), AQ61/DDashboard!$C$8,AND(B61&gt;=DATE(2025,8,1), B61&lt;=DATE(2025,8,31)), AQ61/DDashboard!$C$9,AND(B61&gt;=DATE(2025,9,1), B61&lt;=DATE(2025,9,30)), AQ61/DDashboard!$C$10,AND(B61&gt;=DATE(2025,10,1), B61&lt;=DATE(2025,10,31)), AQ61/DDashboard!$C$11,AND(B61&gt;=DATE(2025,11,1), B61&lt;=DATE(2025,11,30)), AQ61/DDashboard!$C$12, AND(B61&gt;=DATE(2025,12,1), B61&lt;=DATE(2025,12,31)), AQ61/DDashboard!$C$13, True, "")
</f>
        <v/>
      </c>
      <c r="AS61" s="200" t="str">
        <f t="array" ref="AS61">IF(ISBLANK(C61), "", SUM($AR$9:AR61)
)</f>
        <v/>
      </c>
      <c r="AT61" s="169" t="b">
        <v>0</v>
      </c>
      <c r="AU61" s="169"/>
      <c r="AV61" s="169"/>
      <c r="AW61" s="169"/>
      <c r="AX61" s="183"/>
    </row>
    <row r="62">
      <c r="A62" s="388">
        <v>61.0</v>
      </c>
      <c r="B62" s="184"/>
      <c r="C62" s="185"/>
      <c r="D62" s="185"/>
      <c r="E62" s="187"/>
      <c r="F62" s="188"/>
      <c r="G62" s="397" t="str">
        <f t="shared" si="1"/>
        <v/>
      </c>
      <c r="H62" s="190"/>
      <c r="I62" s="190"/>
      <c r="J62" s="187"/>
      <c r="K62" s="145" t="str">
        <f>IFERROR(__xludf.DUMMYFUNCTION("IF(ISBLANK(C62), """", GOOGLEFINANCE(""NSE:"" &amp; C62,""price""))"),"")</f>
        <v/>
      </c>
      <c r="L62" s="213"/>
      <c r="M62" s="193"/>
      <c r="N62" s="194"/>
      <c r="O62" s="205"/>
      <c r="P62" s="228"/>
      <c r="Q62" s="229"/>
      <c r="R62" s="198"/>
      <c r="S62" s="196"/>
      <c r="T62" s="376"/>
      <c r="U62" s="199" t="str">
        <f t="shared" si="23"/>
        <v/>
      </c>
      <c r="V62" s="200" t="str">
        <f>IFS(AND(B62&gt;=DATE(2025,1,1), B62&lt;=DATE(2025,1,31)), U62/DDashboard!$C$2, AND(B62&gt;=DATE(2025,2,1), B62&lt;=DATE(2025,2,28)), U62/DDashboard!$C$3, AND(B62&gt;=DATE(2025,3,1), B62&lt;=DATE(2025,3,31)), U62/DDashboard!$C$4, AND(B62&gt;=DATE(2025,4,1), B62&lt;=DATE(2025,4,30)), U62/DDashboard!$C$5,AND(B62&gt;=DATE(2025,5,1), B62&lt;=DATE(2025,5,31)), U62/DDashboard!$C$6,AND(B62&gt;=DATE(2025,6,1), B62&lt;=DATE(2025,6,30)), U62/DDashboard!$C$7,AND(B62&gt;=DATE(2025,7,1), B62&lt;=DATE(2025,7,31)), U62/DDashboard!$C$8,AND(B62&gt;=DATE(2025,8,1), B62&lt;=DATE(2025,8,31)), U62/DDashboard!$C$9,AND(B62&gt;=DATE(2025,9,1), B62&lt;=DATE(2025,9,30)), U62/DDashboard!$C$10,AND(B62&gt;=DATE(2025,10,1), B62&lt;=DATE(2025,10,31)), U62/DDashboard!$C$11,AND(B62&gt;=DATE(2025,11,1), B62&lt;=DATE(2025,11,30)), U62/DDashboard!$C$12, AND(B62&gt;=DATE(2025,12,1), B62&lt;=DATE(2025,12,31)), U62/DDashboard!$C$13, True, "")
</f>
        <v/>
      </c>
      <c r="W62" s="201" t="str">
        <f t="shared" si="3"/>
        <v/>
      </c>
      <c r="X62" s="202"/>
      <c r="Y62" s="203"/>
      <c r="Z62" s="384"/>
      <c r="AA62" s="202"/>
      <c r="AB62" s="203"/>
      <c r="AC62" s="204"/>
      <c r="AD62" s="205"/>
      <c r="AE62" s="203"/>
      <c r="AF62" s="204"/>
      <c r="AG62" s="206" t="str">
        <f t="shared" si="4"/>
        <v/>
      </c>
      <c r="AH62" s="385" t="str">
        <f t="shared" si="5"/>
        <v/>
      </c>
      <c r="AI62" s="207" t="str">
        <f t="shared" si="24"/>
        <v/>
      </c>
      <c r="AJ62" s="367" t="str">
        <f t="shared" si="7"/>
        <v/>
      </c>
      <c r="AK62" s="208" t="str">
        <f t="shared" si="25"/>
        <v/>
      </c>
      <c r="AL62" s="207" t="str">
        <f t="shared" si="22"/>
        <v/>
      </c>
      <c r="AM62" s="209" t="str">
        <f>IF(AN62="", "", IF(AN62="Closed", 
    IF(ISNUMBER(AF62), AF62-B62,
        IF(ISNUMBER(AC62), AC62-B62,
            IF(ISNUMBER(Z62), Z62-B62, "")
        )
    ), 
    TODAY()-B62))</f>
        <v/>
      </c>
      <c r="AN62" s="386" t="str">
        <f t="shared" si="11"/>
        <v/>
      </c>
      <c r="AO62" s="366" t="str">
        <f t="shared" si="12"/>
        <v/>
      </c>
      <c r="AP62" s="210" t="str">
        <f t="shared" si="13"/>
        <v/>
      </c>
      <c r="AQ62" s="196" t="str">
        <f t="shared" si="26"/>
        <v/>
      </c>
      <c r="AR62" s="168" t="str">
        <f>IFS(AND(B62&gt;=DATE(2025,1,1), B62&lt;=DATE(2025,1,31)), AQ62/DDashboard!$C$2, AND(B62&gt;=DATE(2025,2,1), B62&lt;=DATE(2025,2,28)), AQ62/DDashboard!$C$3, AND(B62&gt;=DATE(2025,3,1), B62&lt;=DATE(2025,3,31)), AQ62/DDashboard!$C$4, AND(B62&gt;=DATE(2025,4,1), B62&lt;=DATE(2025,4,30)), AQ62/DDashboard!$C$5,AND(B62&gt;=DATE(2025,5,1), B62&lt;=DATE(2025,5,31)), AQ62/DDashboard!$C$6,AND(B62&gt;=DATE(2025,6,1), B62&lt;=DATE(2025,6,30)), AQ62/DDashboard!$C$7,AND(B62&gt;=DATE(2025,7,1), B62&lt;=DATE(2025,7,31)), AQ62/DDashboard!$C$8,AND(B62&gt;=DATE(2025,8,1), B62&lt;=DATE(2025,8,31)), AQ62/DDashboard!$C$9,AND(B62&gt;=DATE(2025,9,1), B62&lt;=DATE(2025,9,30)), AQ62/DDashboard!$C$10,AND(B62&gt;=DATE(2025,10,1), B62&lt;=DATE(2025,10,31)), AQ62/DDashboard!$C$11,AND(B62&gt;=DATE(2025,11,1), B62&lt;=DATE(2025,11,30)), AQ62/DDashboard!$C$12, AND(B62&gt;=DATE(2025,12,1), B62&lt;=DATE(2025,12,31)), AQ62/DDashboard!$C$13, True, "")
</f>
        <v/>
      </c>
      <c r="AS62" s="200" t="str">
        <f t="array" ref="AS62">IF(ISBLANK(C62), "", SUM($AR$9:AR62)
)</f>
        <v/>
      </c>
      <c r="AT62" s="169" t="b">
        <v>0</v>
      </c>
      <c r="AU62" s="169"/>
      <c r="AV62" s="169"/>
      <c r="AW62" s="169"/>
      <c r="AX62" s="387"/>
    </row>
    <row r="63">
      <c r="A63" s="389">
        <v>62.0</v>
      </c>
      <c r="B63" s="138"/>
      <c r="C63" s="139"/>
      <c r="D63" s="139"/>
      <c r="E63" s="141"/>
      <c r="F63" s="142"/>
      <c r="G63" s="398" t="str">
        <f t="shared" si="1"/>
        <v/>
      </c>
      <c r="H63" s="144"/>
      <c r="I63" s="144"/>
      <c r="J63" s="141"/>
      <c r="K63" s="145" t="str">
        <f>IFERROR(__xludf.DUMMYFUNCTION("IF(ISBLANK(C63), """", GOOGLEFINANCE(""NSE:"" &amp; C63,""price""))"),"")</f>
        <v/>
      </c>
      <c r="L63" s="146"/>
      <c r="M63" s="147"/>
      <c r="N63" s="148"/>
      <c r="O63" s="149"/>
      <c r="P63" s="150"/>
      <c r="Q63" s="377"/>
      <c r="R63" s="152"/>
      <c r="S63" s="150"/>
      <c r="T63" s="377"/>
      <c r="U63" s="153" t="str">
        <f t="shared" si="23"/>
        <v/>
      </c>
      <c r="V63" s="154" t="str">
        <f>IFS(AND(B63&gt;=DATE(2025,1,1), B63&lt;=DATE(2025,1,31)), U63/DDashboard!$C$2, AND(B63&gt;=DATE(2025,2,1), B63&lt;=DATE(2025,2,28)), U63/DDashboard!$C$3, AND(B63&gt;=DATE(2025,3,1), B63&lt;=DATE(2025,3,31)), U63/DDashboard!$C$4, AND(B63&gt;=DATE(2025,4,1), B63&lt;=DATE(2025,4,30)), U63/DDashboard!$C$5,AND(B63&gt;=DATE(2025,5,1), B63&lt;=DATE(2025,5,31)), U63/DDashboard!$C$6,AND(B63&gt;=DATE(2025,6,1), B63&lt;=DATE(2025,6,30)), U63/DDashboard!$C$7,AND(B63&gt;=DATE(2025,7,1), B63&lt;=DATE(2025,7,31)), U63/DDashboard!$C$8,AND(B63&gt;=DATE(2025,8,1), B63&lt;=DATE(2025,8,31)), U63/DDashboard!$C$9,AND(B63&gt;=DATE(2025,9,1), B63&lt;=DATE(2025,9,30)), U63/DDashboard!$C$10,AND(B63&gt;=DATE(2025,10,1), B63&lt;=DATE(2025,10,31)), U63/DDashboard!$C$11,AND(B63&gt;=DATE(2025,11,1), B63&lt;=DATE(2025,11,30)), U63/DDashboard!$C$12, AND(B63&gt;=DATE(2025,12,1), B63&lt;=DATE(2025,12,31)), U63/DDashboard!$C$13, True, "")
</f>
        <v/>
      </c>
      <c r="W63" s="65" t="str">
        <f t="shared" si="3"/>
        <v/>
      </c>
      <c r="X63" s="155"/>
      <c r="Y63" s="156"/>
      <c r="Z63" s="182"/>
      <c r="AA63" s="155"/>
      <c r="AB63" s="156"/>
      <c r="AC63" s="158"/>
      <c r="AD63" s="159"/>
      <c r="AE63" s="156"/>
      <c r="AF63" s="158"/>
      <c r="AG63" s="160" t="str">
        <f t="shared" si="4"/>
        <v/>
      </c>
      <c r="AH63" s="393" t="str">
        <f t="shared" si="5"/>
        <v/>
      </c>
      <c r="AI63" s="161" t="str">
        <f t="shared" si="24"/>
        <v/>
      </c>
      <c r="AJ63" s="365" t="str">
        <f t="shared" si="7"/>
        <v/>
      </c>
      <c r="AK63" s="162" t="str">
        <f t="shared" si="25"/>
        <v/>
      </c>
      <c r="AL63" s="161" t="str">
        <f t="shared" si="22"/>
        <v/>
      </c>
      <c r="AM63" s="163" t="str">
        <f>IF(AN63="", "", IF(AN63="Closed", IF(ISNUMBER(AF63), AF63-B63,IF(ISNUMBER(AC63), AC63-B63,IF(ISNUMBER(Z63), Z63-B63, ""))), TODAY()-B63))
</f>
        <v/>
      </c>
      <c r="AN63" s="381" t="str">
        <f t="shared" si="11"/>
        <v/>
      </c>
      <c r="AO63" s="366" t="str">
        <f t="shared" si="12"/>
        <v/>
      </c>
      <c r="AP63" s="166" t="str">
        <f t="shared" si="13"/>
        <v/>
      </c>
      <c r="AQ63" s="167" t="str">
        <f t="shared" si="26"/>
        <v/>
      </c>
      <c r="AR63" s="168" t="str">
        <f>IFS(AND(B63&gt;=DATE(2025,1,1), B63&lt;=DATE(2025,1,31)), AQ63/DDashboard!$C$2, AND(B63&gt;=DATE(2025,2,1), B63&lt;=DATE(2025,2,28)), AQ63/DDashboard!$C$3, AND(B63&gt;=DATE(2025,3,1), B63&lt;=DATE(2025,3,31)), AQ63/DDashboard!$C$4, AND(B63&gt;=DATE(2025,4,1), B63&lt;=DATE(2025,4,30)), AQ63/DDashboard!$C$5,AND(B63&gt;=DATE(2025,5,1), B63&lt;=DATE(2025,5,31)), AQ63/DDashboard!$C$6,AND(B63&gt;=DATE(2025,6,1), B63&lt;=DATE(2025,6,30)), AQ63/DDashboard!$C$7,AND(B63&gt;=DATE(2025,7,1), B63&lt;=DATE(2025,7,31)), AQ63/DDashboard!$C$8,AND(B63&gt;=DATE(2025,8,1), B63&lt;=DATE(2025,8,31)), AQ63/DDashboard!$C$9,AND(B63&gt;=DATE(2025,9,1), B63&lt;=DATE(2025,9,30)), AQ63/DDashboard!$C$10,AND(B63&gt;=DATE(2025,10,1), B63&lt;=DATE(2025,10,31)), AQ63/DDashboard!$C$11,AND(B63&gt;=DATE(2025,11,1), B63&lt;=DATE(2025,11,30)), AQ63/DDashboard!$C$12, AND(B63&gt;=DATE(2025,12,1), B63&lt;=DATE(2025,12,31)), AQ63/DDashboard!$C$13, True, "")
</f>
        <v/>
      </c>
      <c r="AS63" s="200" t="str">
        <f t="array" ref="AS63">IF(ISBLANK(C63), "", SUM($AR$9:AR63)
)</f>
        <v/>
      </c>
      <c r="AT63" s="169" t="b">
        <v>0</v>
      </c>
      <c r="AU63" s="169"/>
      <c r="AV63" s="169"/>
      <c r="AW63" s="169"/>
      <c r="AX63" s="383"/>
    </row>
    <row r="64">
      <c r="A64" s="388">
        <v>63.0</v>
      </c>
      <c r="B64" s="184"/>
      <c r="C64" s="185"/>
      <c r="D64" s="185"/>
      <c r="E64" s="187"/>
      <c r="F64" s="188"/>
      <c r="G64" s="397" t="str">
        <f t="shared" si="1"/>
        <v/>
      </c>
      <c r="H64" s="190"/>
      <c r="I64" s="190"/>
      <c r="J64" s="187"/>
      <c r="K64" s="145" t="str">
        <f>IFERROR(__xludf.DUMMYFUNCTION("IF(ISBLANK(C64), """", GOOGLEFINANCE(""NSE:"" &amp; C64,""price""))"),"")</f>
        <v/>
      </c>
      <c r="L64" s="213"/>
      <c r="M64" s="193"/>
      <c r="N64" s="194"/>
      <c r="O64" s="195"/>
      <c r="P64" s="196"/>
      <c r="Q64" s="376"/>
      <c r="R64" s="198"/>
      <c r="S64" s="196"/>
      <c r="T64" s="376"/>
      <c r="U64" s="199" t="str">
        <f t="shared" si="23"/>
        <v/>
      </c>
      <c r="V64" s="200" t="str">
        <f>IFS(AND(B64&gt;=DATE(2025,1,1), B64&lt;=DATE(2025,1,31)), U64/DDashboard!$C$2, AND(B64&gt;=DATE(2025,2,1), B64&lt;=DATE(2025,2,28)), U64/DDashboard!$C$3, AND(B64&gt;=DATE(2025,3,1), B64&lt;=DATE(2025,3,31)), U64/DDashboard!$C$4, AND(B64&gt;=DATE(2025,4,1), B64&lt;=DATE(2025,4,30)), U64/DDashboard!$C$5,AND(B64&gt;=DATE(2025,5,1), B64&lt;=DATE(2025,5,31)), U64/DDashboard!$C$6,AND(B64&gt;=DATE(2025,6,1), B64&lt;=DATE(2025,6,30)), U64/DDashboard!$C$7,AND(B64&gt;=DATE(2025,7,1), B64&lt;=DATE(2025,7,31)), U64/DDashboard!$C$8,AND(B64&gt;=DATE(2025,8,1), B64&lt;=DATE(2025,8,31)), U64/DDashboard!$C$9,AND(B64&gt;=DATE(2025,9,1), B64&lt;=DATE(2025,9,30)), U64/DDashboard!$C$10,AND(B64&gt;=DATE(2025,10,1), B64&lt;=DATE(2025,10,31)), U64/DDashboard!$C$11,AND(B64&gt;=DATE(2025,11,1), B64&lt;=DATE(2025,11,30)), U64/DDashboard!$C$12, AND(B64&gt;=DATE(2025,12,1), B64&lt;=DATE(2025,12,31)), U64/DDashboard!$C$13, True, "")
</f>
        <v/>
      </c>
      <c r="W64" s="201" t="str">
        <f t="shared" si="3"/>
        <v/>
      </c>
      <c r="X64" s="202"/>
      <c r="Y64" s="203"/>
      <c r="Z64" s="384"/>
      <c r="AA64" s="202"/>
      <c r="AB64" s="203"/>
      <c r="AC64" s="204"/>
      <c r="AD64" s="205"/>
      <c r="AE64" s="203"/>
      <c r="AF64" s="204"/>
      <c r="AG64" s="206" t="str">
        <f t="shared" si="4"/>
        <v/>
      </c>
      <c r="AH64" s="385" t="str">
        <f t="shared" si="5"/>
        <v/>
      </c>
      <c r="AI64" s="207" t="str">
        <f t="shared" si="24"/>
        <v/>
      </c>
      <c r="AJ64" s="367" t="str">
        <f t="shared" si="7"/>
        <v/>
      </c>
      <c r="AK64" s="208" t="str">
        <f t="shared" si="25"/>
        <v/>
      </c>
      <c r="AL64" s="207" t="str">
        <f t="shared" si="22"/>
        <v/>
      </c>
      <c r="AM64" s="209" t="str">
        <f>IF(AN64="", "", IF(AN64="Closed", 
    IF(ISNUMBER(AF64), AF64-B64,
        IF(ISNUMBER(AC64), AC64-B64,
            IF(ISNUMBER(Z64), Z64-B64, "")
        )
    ), 
    TODAY()-B64))</f>
        <v/>
      </c>
      <c r="AN64" s="386" t="str">
        <f t="shared" si="11"/>
        <v/>
      </c>
      <c r="AO64" s="366" t="str">
        <f t="shared" si="12"/>
        <v/>
      </c>
      <c r="AP64" s="210" t="str">
        <f t="shared" si="13"/>
        <v/>
      </c>
      <c r="AQ64" s="196" t="str">
        <f t="shared" si="26"/>
        <v/>
      </c>
      <c r="AR64" s="168" t="str">
        <f>IFS(AND(B64&gt;=DATE(2025,1,1), B64&lt;=DATE(2025,1,31)), AQ64/DDashboard!$C$2, AND(B64&gt;=DATE(2025,2,1), B64&lt;=DATE(2025,2,28)), AQ64/DDashboard!$C$3, AND(B64&gt;=DATE(2025,3,1), B64&lt;=DATE(2025,3,31)), AQ64/DDashboard!$C$4, AND(B64&gt;=DATE(2025,4,1), B64&lt;=DATE(2025,4,30)), AQ64/DDashboard!$C$5,AND(B64&gt;=DATE(2025,5,1), B64&lt;=DATE(2025,5,31)), AQ64/DDashboard!$C$6,AND(B64&gt;=DATE(2025,6,1), B64&lt;=DATE(2025,6,30)), AQ64/DDashboard!$C$7,AND(B64&gt;=DATE(2025,7,1), B64&lt;=DATE(2025,7,31)), AQ64/DDashboard!$C$8,AND(B64&gt;=DATE(2025,8,1), B64&lt;=DATE(2025,8,31)), AQ64/DDashboard!$C$9,AND(B64&gt;=DATE(2025,9,1), B64&lt;=DATE(2025,9,30)), AQ64/DDashboard!$C$10,AND(B64&gt;=DATE(2025,10,1), B64&lt;=DATE(2025,10,31)), AQ64/DDashboard!$C$11,AND(B64&gt;=DATE(2025,11,1), B64&lt;=DATE(2025,11,30)), AQ64/DDashboard!$C$12, AND(B64&gt;=DATE(2025,12,1), B64&lt;=DATE(2025,12,31)), AQ64/DDashboard!$C$13, True, "")
</f>
        <v/>
      </c>
      <c r="AS64" s="200" t="str">
        <f t="array" ref="AS64">IF(ISBLANK(C64), "", SUM($AR$9:AR64)
)</f>
        <v/>
      </c>
      <c r="AT64" s="169" t="b">
        <v>0</v>
      </c>
      <c r="AU64" s="169"/>
      <c r="AV64" s="169"/>
      <c r="AW64" s="169"/>
      <c r="AX64" s="387"/>
    </row>
    <row r="65">
      <c r="A65" s="389">
        <v>64.0</v>
      </c>
      <c r="B65" s="138"/>
      <c r="C65" s="139"/>
      <c r="D65" s="139"/>
      <c r="E65" s="141"/>
      <c r="F65" s="142"/>
      <c r="G65" s="398" t="str">
        <f t="shared" si="1"/>
        <v/>
      </c>
      <c r="H65" s="144"/>
      <c r="I65" s="144"/>
      <c r="J65" s="141"/>
      <c r="K65" s="145" t="str">
        <f>IFERROR(__xludf.DUMMYFUNCTION("IF(ISBLANK(C65), """", GOOGLEFINANCE(""NSE:"" &amp; C65,""price""))"),"")</f>
        <v/>
      </c>
      <c r="L65" s="146"/>
      <c r="M65" s="147"/>
      <c r="N65" s="148"/>
      <c r="O65" s="149"/>
      <c r="P65" s="150"/>
      <c r="Q65" s="377"/>
      <c r="R65" s="152"/>
      <c r="S65" s="150"/>
      <c r="T65" s="377"/>
      <c r="U65" s="153" t="str">
        <f t="shared" si="23"/>
        <v/>
      </c>
      <c r="V65" s="154" t="str">
        <f>IFS(AND(B65&gt;=DATE(2025,1,1), B65&lt;=DATE(2025,1,31)), U65/DDashboard!$C$2, AND(B65&gt;=DATE(2025,2,1), B65&lt;=DATE(2025,2,28)), U65/DDashboard!$C$3, AND(B65&gt;=DATE(2025,3,1), B65&lt;=DATE(2025,3,31)), U65/DDashboard!$C$4, AND(B65&gt;=DATE(2025,4,1), B65&lt;=DATE(2025,4,30)), U65/DDashboard!$C$5,AND(B65&gt;=DATE(2025,5,1), B65&lt;=DATE(2025,5,31)), U65/DDashboard!$C$6,AND(B65&gt;=DATE(2025,6,1), B65&lt;=DATE(2025,6,30)), U65/DDashboard!$C$7,AND(B65&gt;=DATE(2025,7,1), B65&lt;=DATE(2025,7,31)), U65/DDashboard!$C$8,AND(B65&gt;=DATE(2025,8,1), B65&lt;=DATE(2025,8,31)), U65/DDashboard!$C$9,AND(B65&gt;=DATE(2025,9,1), B65&lt;=DATE(2025,9,30)), U65/DDashboard!$C$10,AND(B65&gt;=DATE(2025,10,1), B65&lt;=DATE(2025,10,31)), U65/DDashboard!$C$11,AND(B65&gt;=DATE(2025,11,1), B65&lt;=DATE(2025,11,30)), U65/DDashboard!$C$12, AND(B65&gt;=DATE(2025,12,1), B65&lt;=DATE(2025,12,31)), U65/DDashboard!$C$13, True, "")
</f>
        <v/>
      </c>
      <c r="W65" s="65" t="str">
        <f t="shared" si="3"/>
        <v/>
      </c>
      <c r="X65" s="155"/>
      <c r="Y65" s="156"/>
      <c r="Z65" s="182"/>
      <c r="AA65" s="390"/>
      <c r="AB65" s="359"/>
      <c r="AC65" s="360"/>
      <c r="AD65" s="358"/>
      <c r="AE65" s="359"/>
      <c r="AF65" s="360"/>
      <c r="AG65" s="160" t="str">
        <f t="shared" si="4"/>
        <v/>
      </c>
      <c r="AH65" s="393" t="str">
        <f t="shared" si="5"/>
        <v/>
      </c>
      <c r="AI65" s="161" t="str">
        <f t="shared" si="24"/>
        <v/>
      </c>
      <c r="AJ65" s="365" t="str">
        <f t="shared" si="7"/>
        <v/>
      </c>
      <c r="AK65" s="162" t="str">
        <f t="shared" si="25"/>
        <v/>
      </c>
      <c r="AL65" s="161" t="str">
        <f t="shared" si="22"/>
        <v/>
      </c>
      <c r="AM65" s="163" t="str">
        <f>IF(AN65="", "", IF(AN65="Closed", IF(ISNUMBER(AF65), AF65-B65,IF(ISNUMBER(AC65), AC65-B65,IF(ISNUMBER(Z65), Z65-B65, ""))), TODAY()-B65))
</f>
        <v/>
      </c>
      <c r="AN65" s="381" t="str">
        <f t="shared" si="11"/>
        <v/>
      </c>
      <c r="AO65" s="366" t="str">
        <f t="shared" si="12"/>
        <v/>
      </c>
      <c r="AP65" s="166" t="str">
        <f t="shared" si="13"/>
        <v/>
      </c>
      <c r="AQ65" s="167" t="str">
        <f t="shared" si="26"/>
        <v/>
      </c>
      <c r="AR65" s="168" t="str">
        <f>IFS(AND(B65&gt;=DATE(2025,1,1), B65&lt;=DATE(2025,1,31)), AQ65/DDashboard!$C$2, AND(B65&gt;=DATE(2025,2,1), B65&lt;=DATE(2025,2,28)), AQ65/DDashboard!$C$3, AND(B65&gt;=DATE(2025,3,1), B65&lt;=DATE(2025,3,31)), AQ65/DDashboard!$C$4, AND(B65&gt;=DATE(2025,4,1), B65&lt;=DATE(2025,4,30)), AQ65/DDashboard!$C$5,AND(B65&gt;=DATE(2025,5,1), B65&lt;=DATE(2025,5,31)), AQ65/DDashboard!$C$6,AND(B65&gt;=DATE(2025,6,1), B65&lt;=DATE(2025,6,30)), AQ65/DDashboard!$C$7,AND(B65&gt;=DATE(2025,7,1), B65&lt;=DATE(2025,7,31)), AQ65/DDashboard!$C$8,AND(B65&gt;=DATE(2025,8,1), B65&lt;=DATE(2025,8,31)), AQ65/DDashboard!$C$9,AND(B65&gt;=DATE(2025,9,1), B65&lt;=DATE(2025,9,30)), AQ65/DDashboard!$C$10,AND(B65&gt;=DATE(2025,10,1), B65&lt;=DATE(2025,10,31)), AQ65/DDashboard!$C$11,AND(B65&gt;=DATE(2025,11,1), B65&lt;=DATE(2025,11,30)), AQ65/DDashboard!$C$12, AND(B65&gt;=DATE(2025,12,1), B65&lt;=DATE(2025,12,31)), AQ65/DDashboard!$C$13, True, "")
</f>
        <v/>
      </c>
      <c r="AS65" s="200" t="str">
        <f t="array" ref="AS65">IF(ISBLANK(C65), "", SUM($AR$9:AR65)
)</f>
        <v/>
      </c>
      <c r="AT65" s="169" t="b">
        <v>0</v>
      </c>
      <c r="AU65" s="169"/>
      <c r="AV65" s="169"/>
      <c r="AW65" s="169"/>
      <c r="AX65" s="383"/>
    </row>
    <row r="66">
      <c r="A66" s="388">
        <v>65.0</v>
      </c>
      <c r="B66" s="184"/>
      <c r="C66" s="185"/>
      <c r="D66" s="185"/>
      <c r="E66" s="187"/>
      <c r="F66" s="188"/>
      <c r="G66" s="397" t="str">
        <f t="shared" si="1"/>
        <v/>
      </c>
      <c r="H66" s="190"/>
      <c r="I66" s="190"/>
      <c r="J66" s="187"/>
      <c r="K66" s="145" t="str">
        <f>IFERROR(__xludf.DUMMYFUNCTION("IF(ISBLANK(C66), """", GOOGLEFINANCE(""NSE:"" &amp; C66,""price""))"),"")</f>
        <v/>
      </c>
      <c r="L66" s="213"/>
      <c r="M66" s="193"/>
      <c r="N66" s="194"/>
      <c r="O66" s="195"/>
      <c r="P66" s="196"/>
      <c r="Q66" s="376"/>
      <c r="R66" s="198"/>
      <c r="S66" s="196"/>
      <c r="T66" s="376"/>
      <c r="U66" s="199" t="str">
        <f t="shared" si="23"/>
        <v/>
      </c>
      <c r="V66" s="200" t="str">
        <f>IFS(AND(B66&gt;=DATE(2025,1,1), B66&lt;=DATE(2025,1,31)), U66/DDashboard!$C$2, AND(B66&gt;=DATE(2025,2,1), B66&lt;=DATE(2025,2,28)), U66/DDashboard!$C$3, AND(B66&gt;=DATE(2025,3,1), B66&lt;=DATE(2025,3,31)), U66/DDashboard!$C$4, AND(B66&gt;=DATE(2025,4,1), B66&lt;=DATE(2025,4,30)), U66/DDashboard!$C$5,AND(B66&gt;=DATE(2025,5,1), B66&lt;=DATE(2025,5,31)), U66/DDashboard!$C$6,AND(B66&gt;=DATE(2025,6,1), B66&lt;=DATE(2025,6,30)), U66/DDashboard!$C$7,AND(B66&gt;=DATE(2025,7,1), B66&lt;=DATE(2025,7,31)), U66/DDashboard!$C$8,AND(B66&gt;=DATE(2025,8,1), B66&lt;=DATE(2025,8,31)), U66/DDashboard!$C$9,AND(B66&gt;=DATE(2025,9,1), B66&lt;=DATE(2025,9,30)), U66/DDashboard!$C$10,AND(B66&gt;=DATE(2025,10,1), B66&lt;=DATE(2025,10,31)), U66/DDashboard!$C$11,AND(B66&gt;=DATE(2025,11,1), B66&lt;=DATE(2025,11,30)), U66/DDashboard!$C$12, AND(B66&gt;=DATE(2025,12,1), B66&lt;=DATE(2025,12,31)), U66/DDashboard!$C$13, True, "")
</f>
        <v/>
      </c>
      <c r="W66" s="201" t="str">
        <f t="shared" si="3"/>
        <v/>
      </c>
      <c r="X66" s="202"/>
      <c r="Y66" s="203"/>
      <c r="Z66" s="384"/>
      <c r="AA66" s="202"/>
      <c r="AB66" s="203"/>
      <c r="AC66" s="204"/>
      <c r="AD66" s="205"/>
      <c r="AE66" s="203"/>
      <c r="AF66" s="204"/>
      <c r="AG66" s="206" t="str">
        <f t="shared" si="4"/>
        <v/>
      </c>
      <c r="AH66" s="385" t="str">
        <f t="shared" si="5"/>
        <v/>
      </c>
      <c r="AI66" s="207" t="str">
        <f t="shared" si="24"/>
        <v/>
      </c>
      <c r="AJ66" s="367" t="str">
        <f t="shared" si="7"/>
        <v/>
      </c>
      <c r="AK66" s="208" t="str">
        <f t="shared" si="25"/>
        <v/>
      </c>
      <c r="AL66" s="207" t="str">
        <f t="shared" si="22"/>
        <v/>
      </c>
      <c r="AM66" s="209" t="str">
        <f>IF(AN66="", "", IF(AN66="Closed", 
    IF(ISNUMBER(AF66), AF66-B66,
        IF(ISNUMBER(AC66), AC66-B66,
            IF(ISNUMBER(Z66), Z66-B66, "")
        )
    ), 
    TODAY()-B66))</f>
        <v/>
      </c>
      <c r="AN66" s="386" t="str">
        <f t="shared" si="11"/>
        <v/>
      </c>
      <c r="AO66" s="366" t="str">
        <f t="shared" si="12"/>
        <v/>
      </c>
      <c r="AP66" s="210" t="str">
        <f t="shared" si="13"/>
        <v/>
      </c>
      <c r="AQ66" s="196" t="str">
        <f t="shared" si="26"/>
        <v/>
      </c>
      <c r="AR66" s="168" t="str">
        <f>IFS(AND(B66&gt;=DATE(2025,1,1), B66&lt;=DATE(2025,1,31)), AQ66/DDashboard!$C$2, AND(B66&gt;=DATE(2025,2,1), B66&lt;=DATE(2025,2,28)), AQ66/DDashboard!$C$3, AND(B66&gt;=DATE(2025,3,1), B66&lt;=DATE(2025,3,31)), AQ66/DDashboard!$C$4, AND(B66&gt;=DATE(2025,4,1), B66&lt;=DATE(2025,4,30)), AQ66/DDashboard!$C$5,AND(B66&gt;=DATE(2025,5,1), B66&lt;=DATE(2025,5,31)), AQ66/DDashboard!$C$6,AND(B66&gt;=DATE(2025,6,1), B66&lt;=DATE(2025,6,30)), AQ66/DDashboard!$C$7,AND(B66&gt;=DATE(2025,7,1), B66&lt;=DATE(2025,7,31)), AQ66/DDashboard!$C$8,AND(B66&gt;=DATE(2025,8,1), B66&lt;=DATE(2025,8,31)), AQ66/DDashboard!$C$9,AND(B66&gt;=DATE(2025,9,1), B66&lt;=DATE(2025,9,30)), AQ66/DDashboard!$C$10,AND(B66&gt;=DATE(2025,10,1), B66&lt;=DATE(2025,10,31)), AQ66/DDashboard!$C$11,AND(B66&gt;=DATE(2025,11,1), B66&lt;=DATE(2025,11,30)), AQ66/DDashboard!$C$12, AND(B66&gt;=DATE(2025,12,1), B66&lt;=DATE(2025,12,31)), AQ66/DDashboard!$C$13, True, "")
</f>
        <v/>
      </c>
      <c r="AS66" s="200" t="str">
        <f t="array" ref="AS66">IF(ISBLANK(C66), "", SUM($AR$9:AR66)
)</f>
        <v/>
      </c>
      <c r="AT66" s="169" t="b">
        <v>0</v>
      </c>
      <c r="AU66" s="169"/>
      <c r="AV66" s="169"/>
      <c r="AW66" s="169"/>
      <c r="AX66" s="387"/>
    </row>
    <row r="67">
      <c r="A67" s="389">
        <v>66.0</v>
      </c>
      <c r="B67" s="138"/>
      <c r="C67" s="139"/>
      <c r="D67" s="139"/>
      <c r="E67" s="141"/>
      <c r="F67" s="142"/>
      <c r="G67" s="398" t="str">
        <f t="shared" si="1"/>
        <v/>
      </c>
      <c r="H67" s="144"/>
      <c r="I67" s="144"/>
      <c r="J67" s="141"/>
      <c r="K67" s="145" t="str">
        <f>IFERROR(__xludf.DUMMYFUNCTION("IF(ISBLANK(C67), """", GOOGLEFINANCE(""NSE:"" &amp; C67,""price""))"),"")</f>
        <v/>
      </c>
      <c r="L67" s="146"/>
      <c r="M67" s="147"/>
      <c r="N67" s="148"/>
      <c r="O67" s="225"/>
      <c r="P67" s="226"/>
      <c r="Q67" s="227"/>
      <c r="R67" s="152"/>
      <c r="S67" s="150"/>
      <c r="T67" s="377"/>
      <c r="U67" s="153" t="str">
        <f t="shared" si="23"/>
        <v/>
      </c>
      <c r="V67" s="154" t="str">
        <f>IFS(AND(B67&gt;=DATE(2025,1,1), B67&lt;=DATE(2025,1,31)), U67/DDashboard!$C$2, AND(B67&gt;=DATE(2025,2,1), B67&lt;=DATE(2025,2,28)), U67/DDashboard!$C$3, AND(B67&gt;=DATE(2025,3,1), B67&lt;=DATE(2025,3,31)), U67/DDashboard!$C$4, AND(B67&gt;=DATE(2025,4,1), B67&lt;=DATE(2025,4,30)), U67/DDashboard!$C$5,AND(B67&gt;=DATE(2025,5,1), B67&lt;=DATE(2025,5,31)), U67/DDashboard!$C$6,AND(B67&gt;=DATE(2025,6,1), B67&lt;=DATE(2025,6,30)), U67/DDashboard!$C$7,AND(B67&gt;=DATE(2025,7,1), B67&lt;=DATE(2025,7,31)), U67/DDashboard!$C$8,AND(B67&gt;=DATE(2025,8,1), B67&lt;=DATE(2025,8,31)), U67/DDashboard!$C$9,AND(B67&gt;=DATE(2025,9,1), B67&lt;=DATE(2025,9,30)), U67/DDashboard!$C$10,AND(B67&gt;=DATE(2025,10,1), B67&lt;=DATE(2025,10,31)), U67/DDashboard!$C$11,AND(B67&gt;=DATE(2025,11,1), B67&lt;=DATE(2025,11,30)), U67/DDashboard!$C$12, AND(B67&gt;=DATE(2025,12,1), B67&lt;=DATE(2025,12,31)), U67/DDashboard!$C$13, True, "")
</f>
        <v/>
      </c>
      <c r="W67" s="65" t="str">
        <f t="shared" si="3"/>
        <v/>
      </c>
      <c r="X67" s="155"/>
      <c r="Y67" s="156"/>
      <c r="Z67" s="182"/>
      <c r="AA67" s="155"/>
      <c r="AB67" s="156"/>
      <c r="AC67" s="158"/>
      <c r="AD67" s="159"/>
      <c r="AE67" s="156"/>
      <c r="AF67" s="158"/>
      <c r="AG67" s="160" t="str">
        <f t="shared" si="4"/>
        <v/>
      </c>
      <c r="AH67" s="393" t="str">
        <f t="shared" si="5"/>
        <v/>
      </c>
      <c r="AI67" s="161" t="str">
        <f t="shared" si="24"/>
        <v/>
      </c>
      <c r="AJ67" s="365" t="str">
        <f t="shared" si="7"/>
        <v/>
      </c>
      <c r="AK67" s="162" t="str">
        <f t="shared" si="25"/>
        <v/>
      </c>
      <c r="AL67" s="161" t="str">
        <f t="shared" si="22"/>
        <v/>
      </c>
      <c r="AM67" s="163" t="str">
        <f>IF(AN67="", "", IF(AN67="Closed", IF(ISNUMBER(AF67), AF67-B67,IF(ISNUMBER(AC67), AC67-B67,IF(ISNUMBER(Z67), Z67-B67, ""))), TODAY()-B67))
</f>
        <v/>
      </c>
      <c r="AN67" s="381" t="str">
        <f t="shared" si="11"/>
        <v/>
      </c>
      <c r="AO67" s="366" t="str">
        <f t="shared" si="12"/>
        <v/>
      </c>
      <c r="AP67" s="166" t="str">
        <f t="shared" si="13"/>
        <v/>
      </c>
      <c r="AQ67" s="167" t="str">
        <f t="shared" si="26"/>
        <v/>
      </c>
      <c r="AR67" s="168" t="str">
        <f>IFS(AND(B67&gt;=DATE(2025,1,1), B67&lt;=DATE(2025,1,31)), AQ67/DDashboard!$C$2, AND(B67&gt;=DATE(2025,2,1), B67&lt;=DATE(2025,2,28)), AQ67/DDashboard!$C$3, AND(B67&gt;=DATE(2025,3,1), B67&lt;=DATE(2025,3,31)), AQ67/DDashboard!$C$4, AND(B67&gt;=DATE(2025,4,1), B67&lt;=DATE(2025,4,30)), AQ67/DDashboard!$C$5,AND(B67&gt;=DATE(2025,5,1), B67&lt;=DATE(2025,5,31)), AQ67/DDashboard!$C$6,AND(B67&gt;=DATE(2025,6,1), B67&lt;=DATE(2025,6,30)), AQ67/DDashboard!$C$7,AND(B67&gt;=DATE(2025,7,1), B67&lt;=DATE(2025,7,31)), AQ67/DDashboard!$C$8,AND(B67&gt;=DATE(2025,8,1), B67&lt;=DATE(2025,8,31)), AQ67/DDashboard!$C$9,AND(B67&gt;=DATE(2025,9,1), B67&lt;=DATE(2025,9,30)), AQ67/DDashboard!$C$10,AND(B67&gt;=DATE(2025,10,1), B67&lt;=DATE(2025,10,31)), AQ67/DDashboard!$C$11,AND(B67&gt;=DATE(2025,11,1), B67&lt;=DATE(2025,11,30)), AQ67/DDashboard!$C$12, AND(B67&gt;=DATE(2025,12,1), B67&lt;=DATE(2025,12,31)), AQ67/DDashboard!$C$13, True, "")
</f>
        <v/>
      </c>
      <c r="AS67" s="200" t="str">
        <f t="array" ref="AS67">IF(ISBLANK(C67), "", SUM($AR$9:AR67)
)</f>
        <v/>
      </c>
      <c r="AT67" s="169" t="b">
        <v>0</v>
      </c>
      <c r="AU67" s="169"/>
      <c r="AV67" s="169"/>
      <c r="AW67" s="169"/>
      <c r="AX67" s="383"/>
    </row>
    <row r="68">
      <c r="A68" s="388">
        <v>67.0</v>
      </c>
      <c r="B68" s="184"/>
      <c r="C68" s="185"/>
      <c r="D68" s="185"/>
      <c r="E68" s="187"/>
      <c r="F68" s="188"/>
      <c r="G68" s="397" t="str">
        <f t="shared" si="1"/>
        <v/>
      </c>
      <c r="H68" s="190"/>
      <c r="I68" s="190"/>
      <c r="J68" s="187"/>
      <c r="K68" s="145" t="str">
        <f>IFERROR(__xludf.DUMMYFUNCTION("IF(ISBLANK(C68), """", GOOGLEFINANCE(""NSE:"" &amp; C68,""price""))"),"")</f>
        <v/>
      </c>
      <c r="L68" s="213"/>
      <c r="M68" s="193"/>
      <c r="N68" s="194"/>
      <c r="O68" s="195"/>
      <c r="P68" s="196"/>
      <c r="Q68" s="376"/>
      <c r="R68" s="198"/>
      <c r="S68" s="196"/>
      <c r="T68" s="376"/>
      <c r="U68" s="199" t="str">
        <f t="shared" si="23"/>
        <v/>
      </c>
      <c r="V68" s="200" t="str">
        <f>IFS(AND(B68&gt;=DATE(2025,1,1), B68&lt;=DATE(2025,1,31)), U68/DDashboard!$C$2, AND(B68&gt;=DATE(2025,2,1), B68&lt;=DATE(2025,2,28)), U68/DDashboard!$C$3, AND(B68&gt;=DATE(2025,3,1), B68&lt;=DATE(2025,3,31)), U68/DDashboard!$C$4, AND(B68&gt;=DATE(2025,4,1), B68&lt;=DATE(2025,4,30)), U68/DDashboard!$C$5,AND(B68&gt;=DATE(2025,5,1), B68&lt;=DATE(2025,5,31)), U68/DDashboard!$C$6,AND(B68&gt;=DATE(2025,6,1), B68&lt;=DATE(2025,6,30)), U68/DDashboard!$C$7,AND(B68&gt;=DATE(2025,7,1), B68&lt;=DATE(2025,7,31)), U68/DDashboard!$C$8,AND(B68&gt;=DATE(2025,8,1), B68&lt;=DATE(2025,8,31)), U68/DDashboard!$C$9,AND(B68&gt;=DATE(2025,9,1), B68&lt;=DATE(2025,9,30)), U68/DDashboard!$C$10,AND(B68&gt;=DATE(2025,10,1), B68&lt;=DATE(2025,10,31)), U68/DDashboard!$C$11,AND(B68&gt;=DATE(2025,11,1), B68&lt;=DATE(2025,11,30)), U68/DDashboard!$C$12, AND(B68&gt;=DATE(2025,12,1), B68&lt;=DATE(2025,12,31)), U68/DDashboard!$C$13, True, "")
</f>
        <v/>
      </c>
      <c r="W68" s="201" t="str">
        <f t="shared" si="3"/>
        <v/>
      </c>
      <c r="X68" s="202"/>
      <c r="Y68" s="203"/>
      <c r="Z68" s="384"/>
      <c r="AA68" s="202"/>
      <c r="AB68" s="203"/>
      <c r="AC68" s="204"/>
      <c r="AD68" s="195"/>
      <c r="AE68" s="222"/>
      <c r="AF68" s="223"/>
      <c r="AG68" s="206" t="str">
        <f t="shared" si="4"/>
        <v/>
      </c>
      <c r="AH68" s="385" t="str">
        <f t="shared" si="5"/>
        <v/>
      </c>
      <c r="AI68" s="207" t="str">
        <f t="shared" si="24"/>
        <v/>
      </c>
      <c r="AJ68" s="367" t="str">
        <f t="shared" si="7"/>
        <v/>
      </c>
      <c r="AK68" s="208" t="str">
        <f t="shared" si="25"/>
        <v/>
      </c>
      <c r="AL68" s="207" t="str">
        <f t="shared" si="22"/>
        <v/>
      </c>
      <c r="AM68" s="209" t="str">
        <f>IF(AN68="", "", IF(AN68="Closed", 
    IF(ISNUMBER(AF68), AF68-B68,
        IF(ISNUMBER(AC68), AC68-B68,
            IF(ISNUMBER(Z68), Z68-B68, "")
        )
    ), 
    TODAY()-B68))</f>
        <v/>
      </c>
      <c r="AN68" s="386" t="str">
        <f t="shared" si="11"/>
        <v/>
      </c>
      <c r="AO68" s="366" t="str">
        <f t="shared" si="12"/>
        <v/>
      </c>
      <c r="AP68" s="210" t="str">
        <f t="shared" si="13"/>
        <v/>
      </c>
      <c r="AQ68" s="196" t="str">
        <f t="shared" si="26"/>
        <v/>
      </c>
      <c r="AR68" s="168" t="str">
        <f>IFS(AND(B68&gt;=DATE(2025,1,1), B68&lt;=DATE(2025,1,31)), AQ68/DDashboard!$C$2, AND(B68&gt;=DATE(2025,2,1), B68&lt;=DATE(2025,2,28)), AQ68/DDashboard!$C$3, AND(B68&gt;=DATE(2025,3,1), B68&lt;=DATE(2025,3,31)), AQ68/DDashboard!$C$4, AND(B68&gt;=DATE(2025,4,1), B68&lt;=DATE(2025,4,30)), AQ68/DDashboard!$C$5,AND(B68&gt;=DATE(2025,5,1), B68&lt;=DATE(2025,5,31)), AQ68/DDashboard!$C$6,AND(B68&gt;=DATE(2025,6,1), B68&lt;=DATE(2025,6,30)), AQ68/DDashboard!$C$7,AND(B68&gt;=DATE(2025,7,1), B68&lt;=DATE(2025,7,31)), AQ68/DDashboard!$C$8,AND(B68&gt;=DATE(2025,8,1), B68&lt;=DATE(2025,8,31)), AQ68/DDashboard!$C$9,AND(B68&gt;=DATE(2025,9,1), B68&lt;=DATE(2025,9,30)), AQ68/DDashboard!$C$10,AND(B68&gt;=DATE(2025,10,1), B68&lt;=DATE(2025,10,31)), AQ68/DDashboard!$C$11,AND(B68&gt;=DATE(2025,11,1), B68&lt;=DATE(2025,11,30)), AQ68/DDashboard!$C$12, AND(B68&gt;=DATE(2025,12,1), B68&lt;=DATE(2025,12,31)), AQ68/DDashboard!$C$13, True, "")
</f>
        <v/>
      </c>
      <c r="AS68" s="200" t="str">
        <f t="array" ref="AS68">IF(ISBLANK(C68), "", SUM($AR$9:AR68)
)</f>
        <v/>
      </c>
      <c r="AT68" s="169" t="b">
        <v>0</v>
      </c>
      <c r="AU68" s="169"/>
      <c r="AV68" s="169"/>
      <c r="AW68" s="169"/>
      <c r="AX68" s="387"/>
    </row>
    <row r="69">
      <c r="A69" s="389">
        <v>68.0</v>
      </c>
      <c r="B69" s="138"/>
      <c r="C69" s="139"/>
      <c r="D69" s="139"/>
      <c r="E69" s="141"/>
      <c r="F69" s="142"/>
      <c r="G69" s="398" t="str">
        <f t="shared" si="1"/>
        <v/>
      </c>
      <c r="H69" s="144"/>
      <c r="I69" s="144"/>
      <c r="J69" s="141"/>
      <c r="K69" s="145" t="str">
        <f>IFERROR(__xludf.DUMMYFUNCTION("IF(ISBLANK(C69), """", GOOGLEFINANCE(""NSE:"" &amp; C69,""price""))"),"")</f>
        <v/>
      </c>
      <c r="L69" s="146"/>
      <c r="M69" s="147"/>
      <c r="N69" s="148"/>
      <c r="O69" s="149"/>
      <c r="P69" s="150"/>
      <c r="Q69" s="377"/>
      <c r="R69" s="152"/>
      <c r="S69" s="150"/>
      <c r="T69" s="377"/>
      <c r="U69" s="153" t="str">
        <f t="shared" si="23"/>
        <v/>
      </c>
      <c r="V69" s="154" t="str">
        <f>IFS(AND(B69&gt;=DATE(2025,1,1), B69&lt;=DATE(2025,1,31)), U69/DDashboard!$C$2, AND(B69&gt;=DATE(2025,2,1), B69&lt;=DATE(2025,2,28)), U69/DDashboard!$C$3, AND(B69&gt;=DATE(2025,3,1), B69&lt;=DATE(2025,3,31)), U69/DDashboard!$C$4, AND(B69&gt;=DATE(2025,4,1), B69&lt;=DATE(2025,4,30)), U69/DDashboard!$C$5,AND(B69&gt;=DATE(2025,5,1), B69&lt;=DATE(2025,5,31)), U69/DDashboard!$C$6,AND(B69&gt;=DATE(2025,6,1), B69&lt;=DATE(2025,6,30)), U69/DDashboard!$C$7,AND(B69&gt;=DATE(2025,7,1), B69&lt;=DATE(2025,7,31)), U69/DDashboard!$C$8,AND(B69&gt;=DATE(2025,8,1), B69&lt;=DATE(2025,8,31)), U69/DDashboard!$C$9,AND(B69&gt;=DATE(2025,9,1), B69&lt;=DATE(2025,9,30)), U69/DDashboard!$C$10,AND(B69&gt;=DATE(2025,10,1), B69&lt;=DATE(2025,10,31)), U69/DDashboard!$C$11,AND(B69&gt;=DATE(2025,11,1), B69&lt;=DATE(2025,11,30)), U69/DDashboard!$C$12, AND(B69&gt;=DATE(2025,12,1), B69&lt;=DATE(2025,12,31)), U69/DDashboard!$C$13, True, "")
</f>
        <v/>
      </c>
      <c r="W69" s="65" t="str">
        <f t="shared" si="3"/>
        <v/>
      </c>
      <c r="X69" s="155"/>
      <c r="Y69" s="156"/>
      <c r="Z69" s="182"/>
      <c r="AA69" s="390"/>
      <c r="AB69" s="359"/>
      <c r="AC69" s="360"/>
      <c r="AD69" s="358"/>
      <c r="AE69" s="359"/>
      <c r="AF69" s="360"/>
      <c r="AG69" s="160" t="str">
        <f t="shared" si="4"/>
        <v/>
      </c>
      <c r="AH69" s="393" t="str">
        <f t="shared" si="5"/>
        <v/>
      </c>
      <c r="AI69" s="161" t="str">
        <f t="shared" si="24"/>
        <v/>
      </c>
      <c r="AJ69" s="365" t="str">
        <f t="shared" si="7"/>
        <v/>
      </c>
      <c r="AK69" s="162" t="str">
        <f t="shared" si="25"/>
        <v/>
      </c>
      <c r="AL69" s="161" t="str">
        <f t="shared" si="22"/>
        <v/>
      </c>
      <c r="AM69" s="163" t="str">
        <f>IF(AN69="", "", IF(AN69="Closed", IF(ISNUMBER(AF69), AF69-B69,IF(ISNUMBER(AC69), AC69-B69,IF(ISNUMBER(Z69), Z69-B69, ""))), TODAY()-B69))
</f>
        <v/>
      </c>
      <c r="AN69" s="381" t="str">
        <f t="shared" si="11"/>
        <v/>
      </c>
      <c r="AO69" s="366" t="str">
        <f t="shared" si="12"/>
        <v/>
      </c>
      <c r="AP69" s="166" t="str">
        <f t="shared" si="13"/>
        <v/>
      </c>
      <c r="AQ69" s="167" t="str">
        <f t="shared" si="26"/>
        <v/>
      </c>
      <c r="AR69" s="168" t="str">
        <f>IFS(AND(B69&gt;=DATE(2025,1,1), B69&lt;=DATE(2025,1,31)), AQ69/DDashboard!$C$2, AND(B69&gt;=DATE(2025,2,1), B69&lt;=DATE(2025,2,28)), AQ69/DDashboard!$C$3, AND(B69&gt;=DATE(2025,3,1), B69&lt;=DATE(2025,3,31)), AQ69/DDashboard!$C$4, AND(B69&gt;=DATE(2025,4,1), B69&lt;=DATE(2025,4,30)), AQ69/DDashboard!$C$5,AND(B69&gt;=DATE(2025,5,1), B69&lt;=DATE(2025,5,31)), AQ69/DDashboard!$C$6,AND(B69&gt;=DATE(2025,6,1), B69&lt;=DATE(2025,6,30)), AQ69/DDashboard!$C$7,AND(B69&gt;=DATE(2025,7,1), B69&lt;=DATE(2025,7,31)), AQ69/DDashboard!$C$8,AND(B69&gt;=DATE(2025,8,1), B69&lt;=DATE(2025,8,31)), AQ69/DDashboard!$C$9,AND(B69&gt;=DATE(2025,9,1), B69&lt;=DATE(2025,9,30)), AQ69/DDashboard!$C$10,AND(B69&gt;=DATE(2025,10,1), B69&lt;=DATE(2025,10,31)), AQ69/DDashboard!$C$11,AND(B69&gt;=DATE(2025,11,1), B69&lt;=DATE(2025,11,30)), AQ69/DDashboard!$C$12, AND(B69&gt;=DATE(2025,12,1), B69&lt;=DATE(2025,12,31)), AQ69/DDashboard!$C$13, True, "")
</f>
        <v/>
      </c>
      <c r="AS69" s="200" t="str">
        <f t="array" ref="AS69">IF(ISBLANK(C69), "", SUM($AR$9:AR69)
)</f>
        <v/>
      </c>
      <c r="AT69" s="169" t="b">
        <v>0</v>
      </c>
      <c r="AU69" s="169"/>
      <c r="AV69" s="169"/>
      <c r="AW69" s="169"/>
      <c r="AX69" s="383"/>
    </row>
    <row r="70">
      <c r="A70" s="388">
        <v>69.0</v>
      </c>
      <c r="B70" s="184"/>
      <c r="C70" s="185"/>
      <c r="D70" s="185"/>
      <c r="E70" s="187"/>
      <c r="F70" s="188"/>
      <c r="G70" s="397" t="str">
        <f t="shared" si="1"/>
        <v/>
      </c>
      <c r="H70" s="190"/>
      <c r="I70" s="190"/>
      <c r="J70" s="187"/>
      <c r="K70" s="145" t="str">
        <f>IFERROR(__xludf.DUMMYFUNCTION("IF(ISBLANK(C70), """", GOOGLEFINANCE(""NSE:"" &amp; C70,""price""))"),"")</f>
        <v/>
      </c>
      <c r="L70" s="213"/>
      <c r="M70" s="193"/>
      <c r="N70" s="194"/>
      <c r="O70" s="195"/>
      <c r="P70" s="196"/>
      <c r="Q70" s="376"/>
      <c r="R70" s="198"/>
      <c r="S70" s="196"/>
      <c r="T70" s="376"/>
      <c r="U70" s="199" t="str">
        <f t="shared" si="23"/>
        <v/>
      </c>
      <c r="V70" s="200" t="str">
        <f>IFS(AND(B70&gt;=DATE(2025,1,1), B70&lt;=DATE(2025,1,31)), U70/DDashboard!$C$2, AND(B70&gt;=DATE(2025,2,1), B70&lt;=DATE(2025,2,28)), U70/DDashboard!$C$3, AND(B70&gt;=DATE(2025,3,1), B70&lt;=DATE(2025,3,31)), U70/DDashboard!$C$4, AND(B70&gt;=DATE(2025,4,1), B70&lt;=DATE(2025,4,30)), U70/DDashboard!$C$5,AND(B70&gt;=DATE(2025,5,1), B70&lt;=DATE(2025,5,31)), U70/DDashboard!$C$6,AND(B70&gt;=DATE(2025,6,1), B70&lt;=DATE(2025,6,30)), U70/DDashboard!$C$7,AND(B70&gt;=DATE(2025,7,1), B70&lt;=DATE(2025,7,31)), U70/DDashboard!$C$8,AND(B70&gt;=DATE(2025,8,1), B70&lt;=DATE(2025,8,31)), U70/DDashboard!$C$9,AND(B70&gt;=DATE(2025,9,1), B70&lt;=DATE(2025,9,30)), U70/DDashboard!$C$10,AND(B70&gt;=DATE(2025,10,1), B70&lt;=DATE(2025,10,31)), U70/DDashboard!$C$11,AND(B70&gt;=DATE(2025,11,1), B70&lt;=DATE(2025,11,30)), U70/DDashboard!$C$12, AND(B70&gt;=DATE(2025,12,1), B70&lt;=DATE(2025,12,31)), U70/DDashboard!$C$13, True, "")
</f>
        <v/>
      </c>
      <c r="W70" s="201" t="str">
        <f t="shared" si="3"/>
        <v/>
      </c>
      <c r="X70" s="202"/>
      <c r="Y70" s="203"/>
      <c r="Z70" s="384"/>
      <c r="AA70" s="202"/>
      <c r="AB70" s="203"/>
      <c r="AC70" s="204"/>
      <c r="AD70" s="205"/>
      <c r="AE70" s="203"/>
      <c r="AF70" s="204"/>
      <c r="AG70" s="206" t="str">
        <f t="shared" si="4"/>
        <v/>
      </c>
      <c r="AH70" s="385" t="str">
        <f t="shared" si="5"/>
        <v/>
      </c>
      <c r="AI70" s="207" t="str">
        <f t="shared" si="24"/>
        <v/>
      </c>
      <c r="AJ70" s="367" t="str">
        <f t="shared" si="7"/>
        <v/>
      </c>
      <c r="AK70" s="208" t="str">
        <f t="shared" si="25"/>
        <v/>
      </c>
      <c r="AL70" s="207" t="str">
        <f t="shared" si="22"/>
        <v/>
      </c>
      <c r="AM70" s="209" t="str">
        <f>IF(AN70="", "", IF(AN70="Closed", 
    IF(ISNUMBER(AF70), AF70-B70,
        IF(ISNUMBER(AC70), AC70-B70,
            IF(ISNUMBER(Z70), Z70-B70, "")
        )
    ), 
    TODAY()-B70))</f>
        <v/>
      </c>
      <c r="AN70" s="386" t="str">
        <f t="shared" si="11"/>
        <v/>
      </c>
      <c r="AO70" s="366" t="str">
        <f t="shared" si="12"/>
        <v/>
      </c>
      <c r="AP70" s="210" t="str">
        <f t="shared" si="13"/>
        <v/>
      </c>
      <c r="AQ70" s="196" t="str">
        <f t="shared" si="26"/>
        <v/>
      </c>
      <c r="AR70" s="168" t="str">
        <f>IFS(AND(B70&gt;=DATE(2025,1,1), B70&lt;=DATE(2025,1,31)), AQ70/DDashboard!$C$2, AND(B70&gt;=DATE(2025,2,1), B70&lt;=DATE(2025,2,28)), AQ70/DDashboard!$C$3, AND(B70&gt;=DATE(2025,3,1), B70&lt;=DATE(2025,3,31)), AQ70/DDashboard!$C$4, AND(B70&gt;=DATE(2025,4,1), B70&lt;=DATE(2025,4,30)), AQ70/DDashboard!$C$5,AND(B70&gt;=DATE(2025,5,1), B70&lt;=DATE(2025,5,31)), AQ70/DDashboard!$C$6,AND(B70&gt;=DATE(2025,6,1), B70&lt;=DATE(2025,6,30)), AQ70/DDashboard!$C$7,AND(B70&gt;=DATE(2025,7,1), B70&lt;=DATE(2025,7,31)), AQ70/DDashboard!$C$8,AND(B70&gt;=DATE(2025,8,1), B70&lt;=DATE(2025,8,31)), AQ70/DDashboard!$C$9,AND(B70&gt;=DATE(2025,9,1), B70&lt;=DATE(2025,9,30)), AQ70/DDashboard!$C$10,AND(B70&gt;=DATE(2025,10,1), B70&lt;=DATE(2025,10,31)), AQ70/DDashboard!$C$11,AND(B70&gt;=DATE(2025,11,1), B70&lt;=DATE(2025,11,30)), AQ70/DDashboard!$C$12, AND(B70&gt;=DATE(2025,12,1), B70&lt;=DATE(2025,12,31)), AQ70/DDashboard!$C$13, True, "")
</f>
        <v/>
      </c>
      <c r="AS70" s="200" t="str">
        <f t="array" ref="AS70">IF(ISBLANK(C70), "", SUM($AR$9:AR70)
)</f>
        <v/>
      </c>
      <c r="AT70" s="169" t="b">
        <v>0</v>
      </c>
      <c r="AU70" s="169"/>
      <c r="AV70" s="169"/>
      <c r="AW70" s="169"/>
      <c r="AX70" s="387"/>
    </row>
    <row r="71">
      <c r="A71" s="389">
        <v>70.0</v>
      </c>
      <c r="B71" s="138"/>
      <c r="C71" s="139"/>
      <c r="D71" s="139"/>
      <c r="E71" s="141"/>
      <c r="F71" s="142"/>
      <c r="G71" s="398" t="str">
        <f t="shared" si="1"/>
        <v/>
      </c>
      <c r="H71" s="144"/>
      <c r="I71" s="399"/>
      <c r="J71" s="141"/>
      <c r="K71" s="145" t="str">
        <f>IFERROR(__xludf.DUMMYFUNCTION("IF(ISBLANK(C71), """", GOOGLEFINANCE(""NSE:"" &amp; C71,""price""))"),"")</f>
        <v/>
      </c>
      <c r="L71" s="146"/>
      <c r="M71" s="147"/>
      <c r="N71" s="148"/>
      <c r="O71" s="149"/>
      <c r="P71" s="150"/>
      <c r="Q71" s="377"/>
      <c r="R71" s="152"/>
      <c r="S71" s="150"/>
      <c r="T71" s="377"/>
      <c r="U71" s="153" t="str">
        <f t="shared" si="23"/>
        <v/>
      </c>
      <c r="V71" s="154" t="str">
        <f>IFS(AND(B71&gt;=DATE(2025,1,1), B71&lt;=DATE(2025,1,31)), U71/DDashboard!$C$2, AND(B71&gt;=DATE(2025,2,1), B71&lt;=DATE(2025,2,28)), U71/DDashboard!$C$3, AND(B71&gt;=DATE(2025,3,1), B71&lt;=DATE(2025,3,31)), U71/DDashboard!$C$4, AND(B71&gt;=DATE(2025,4,1), B71&lt;=DATE(2025,4,30)), U71/DDashboard!$C$5,AND(B71&gt;=DATE(2025,5,1), B71&lt;=DATE(2025,5,31)), U71/DDashboard!$C$6,AND(B71&gt;=DATE(2025,6,1), B71&lt;=DATE(2025,6,30)), U71/DDashboard!$C$7,AND(B71&gt;=DATE(2025,7,1), B71&lt;=DATE(2025,7,31)), U71/DDashboard!$C$8,AND(B71&gt;=DATE(2025,8,1), B71&lt;=DATE(2025,8,31)), U71/DDashboard!$C$9,AND(B71&gt;=DATE(2025,9,1), B71&lt;=DATE(2025,9,30)), U71/DDashboard!$C$10,AND(B71&gt;=DATE(2025,10,1), B71&lt;=DATE(2025,10,31)), U71/DDashboard!$C$11,AND(B71&gt;=DATE(2025,11,1), B71&lt;=DATE(2025,11,30)), U71/DDashboard!$C$12, AND(B71&gt;=DATE(2025,12,1), B71&lt;=DATE(2025,12,31)), U71/DDashboard!$C$13, True, "")
</f>
        <v/>
      </c>
      <c r="W71" s="65" t="str">
        <f t="shared" si="3"/>
        <v/>
      </c>
      <c r="X71" s="155"/>
      <c r="Y71" s="156"/>
      <c r="Z71" s="182"/>
      <c r="AA71" s="390"/>
      <c r="AB71" s="359"/>
      <c r="AC71" s="360"/>
      <c r="AD71" s="358"/>
      <c r="AE71" s="359"/>
      <c r="AF71" s="360"/>
      <c r="AG71" s="160" t="str">
        <f t="shared" si="4"/>
        <v/>
      </c>
      <c r="AH71" s="393" t="str">
        <f t="shared" si="5"/>
        <v/>
      </c>
      <c r="AI71" s="161" t="str">
        <f t="shared" si="24"/>
        <v/>
      </c>
      <c r="AJ71" s="365" t="str">
        <f t="shared" si="7"/>
        <v/>
      </c>
      <c r="AK71" s="162" t="str">
        <f t="shared" si="25"/>
        <v/>
      </c>
      <c r="AL71" s="161" t="str">
        <f t="shared" si="22"/>
        <v/>
      </c>
      <c r="AM71" s="163" t="str">
        <f>IF(AN71="", "", IF(AN71="Closed", IF(ISNUMBER(AF71), AF71-B71,IF(ISNUMBER(AC71), AC71-B71,IF(ISNUMBER(Z71), Z71-B71, ""))), TODAY()-B71))
</f>
        <v/>
      </c>
      <c r="AN71" s="381" t="str">
        <f t="shared" si="11"/>
        <v/>
      </c>
      <c r="AO71" s="366" t="str">
        <f t="shared" si="12"/>
        <v/>
      </c>
      <c r="AP71" s="166" t="str">
        <f t="shared" si="13"/>
        <v/>
      </c>
      <c r="AQ71" s="167" t="str">
        <f t="shared" si="26"/>
        <v/>
      </c>
      <c r="AR71" s="168" t="str">
        <f>IFS(AND(B71&gt;=DATE(2025,1,1), B71&lt;=DATE(2025,1,31)), AQ71/DDashboard!$C$2, AND(B71&gt;=DATE(2025,2,1), B71&lt;=DATE(2025,2,28)), AQ71/DDashboard!$C$3, AND(B71&gt;=DATE(2025,3,1), B71&lt;=DATE(2025,3,31)), AQ71/DDashboard!$C$4, AND(B71&gt;=DATE(2025,4,1), B71&lt;=DATE(2025,4,30)), AQ71/DDashboard!$C$5,AND(B71&gt;=DATE(2025,5,1), B71&lt;=DATE(2025,5,31)), AQ71/DDashboard!$C$6,AND(B71&gt;=DATE(2025,6,1), B71&lt;=DATE(2025,6,30)), AQ71/DDashboard!$C$7,AND(B71&gt;=DATE(2025,7,1), B71&lt;=DATE(2025,7,31)), AQ71/DDashboard!$C$8,AND(B71&gt;=DATE(2025,8,1), B71&lt;=DATE(2025,8,31)), AQ71/DDashboard!$C$9,AND(B71&gt;=DATE(2025,9,1), B71&lt;=DATE(2025,9,30)), AQ71/DDashboard!$C$10,AND(B71&gt;=DATE(2025,10,1), B71&lt;=DATE(2025,10,31)), AQ71/DDashboard!$C$11,AND(B71&gt;=DATE(2025,11,1), B71&lt;=DATE(2025,11,30)), AQ71/DDashboard!$C$12, AND(B71&gt;=DATE(2025,12,1), B71&lt;=DATE(2025,12,31)), AQ71/DDashboard!$C$13, True, "")
</f>
        <v/>
      </c>
      <c r="AS71" s="200" t="str">
        <f t="array" ref="AS71">IF(ISBLANK(C71), "", SUM($AR$9:AR71)
)</f>
        <v/>
      </c>
      <c r="AT71" s="169" t="b">
        <v>0</v>
      </c>
      <c r="AU71" s="169"/>
      <c r="AV71" s="169"/>
      <c r="AW71" s="169"/>
      <c r="AX71" s="383"/>
    </row>
    <row r="72">
      <c r="A72" s="388">
        <v>71.0</v>
      </c>
      <c r="B72" s="184"/>
      <c r="C72" s="185"/>
      <c r="D72" s="400"/>
      <c r="E72" s="400"/>
      <c r="F72" s="188"/>
      <c r="G72" s="397" t="str">
        <f t="shared" si="1"/>
        <v/>
      </c>
      <c r="H72" s="190"/>
      <c r="I72" s="190"/>
      <c r="J72" s="187"/>
      <c r="K72" s="145" t="str">
        <f>IFERROR(__xludf.DUMMYFUNCTION("IF(ISBLANK(C72), """", GOOGLEFINANCE(""NSE:"" &amp; C72,""price""))"),"")</f>
        <v/>
      </c>
      <c r="L72" s="213"/>
      <c r="M72" s="193"/>
      <c r="N72" s="194"/>
      <c r="O72" s="195"/>
      <c r="P72" s="196"/>
      <c r="Q72" s="376"/>
      <c r="R72" s="198"/>
      <c r="S72" s="196"/>
      <c r="T72" s="376"/>
      <c r="U72" s="199" t="str">
        <f t="shared" si="23"/>
        <v/>
      </c>
      <c r="V72" s="200" t="str">
        <f>IFS(AND(B72&gt;=DATE(2025,1,1), B72&lt;=DATE(2025,1,31)), U72/DDashboard!$C$2, AND(B72&gt;=DATE(2025,2,1), B72&lt;=DATE(2025,2,28)), U72/DDashboard!$C$3, AND(B72&gt;=DATE(2025,3,1), B72&lt;=DATE(2025,3,31)), U72/DDashboard!$C$4, AND(B72&gt;=DATE(2025,4,1), B72&lt;=DATE(2025,4,30)), U72/DDashboard!$C$5,AND(B72&gt;=DATE(2025,5,1), B72&lt;=DATE(2025,5,31)), U72/DDashboard!$C$6,AND(B72&gt;=DATE(2025,6,1), B72&lt;=DATE(2025,6,30)), U72/DDashboard!$C$7,AND(B72&gt;=DATE(2025,7,1), B72&lt;=DATE(2025,7,31)), U72/DDashboard!$C$8,AND(B72&gt;=DATE(2025,8,1), B72&lt;=DATE(2025,8,31)), U72/DDashboard!$C$9,AND(B72&gt;=DATE(2025,9,1), B72&lt;=DATE(2025,9,30)), U72/DDashboard!$C$10,AND(B72&gt;=DATE(2025,10,1), B72&lt;=DATE(2025,10,31)), U72/DDashboard!$C$11,AND(B72&gt;=DATE(2025,11,1), B72&lt;=DATE(2025,11,30)), U72/DDashboard!$C$12, AND(B72&gt;=DATE(2025,12,1), B72&lt;=DATE(2025,12,31)), U72/DDashboard!$C$13, True, "")
</f>
        <v/>
      </c>
      <c r="W72" s="201" t="str">
        <f t="shared" si="3"/>
        <v/>
      </c>
      <c r="X72" s="202"/>
      <c r="Y72" s="203"/>
      <c r="Z72" s="384"/>
      <c r="AA72" s="198"/>
      <c r="AB72" s="222"/>
      <c r="AC72" s="223"/>
      <c r="AD72" s="195"/>
      <c r="AE72" s="222"/>
      <c r="AF72" s="223"/>
      <c r="AG72" s="206" t="str">
        <f t="shared" si="4"/>
        <v/>
      </c>
      <c r="AH72" s="385" t="str">
        <f t="shared" si="5"/>
        <v/>
      </c>
      <c r="AI72" s="207" t="str">
        <f t="shared" si="24"/>
        <v/>
      </c>
      <c r="AJ72" s="367" t="str">
        <f t="shared" si="7"/>
        <v/>
      </c>
      <c r="AK72" s="208" t="str">
        <f t="shared" si="25"/>
        <v/>
      </c>
      <c r="AL72" s="207" t="str">
        <f t="shared" si="22"/>
        <v/>
      </c>
      <c r="AM72" s="209" t="str">
        <f>IF(AN72="", "", IF(AN72="Closed", 
    IF(ISNUMBER(AF72), AF72-B72,
        IF(ISNUMBER(AC72), AC72-B72,
            IF(ISNUMBER(Z72), Z72-B72, "")
        )
    ), 
    TODAY()-B72))</f>
        <v/>
      </c>
      <c r="AN72" s="386" t="str">
        <f t="shared" si="11"/>
        <v/>
      </c>
      <c r="AO72" s="366" t="str">
        <f t="shared" si="12"/>
        <v/>
      </c>
      <c r="AP72" s="210" t="str">
        <f t="shared" si="13"/>
        <v/>
      </c>
      <c r="AQ72" s="196" t="str">
        <f t="shared" si="26"/>
        <v/>
      </c>
      <c r="AR72" s="168" t="str">
        <f>IFS(AND(B72&gt;=DATE(2025,1,1), B72&lt;=DATE(2025,1,31)), AQ72/DDashboard!$C$2, AND(B72&gt;=DATE(2025,2,1), B72&lt;=DATE(2025,2,28)), AQ72/DDashboard!$C$3, AND(B72&gt;=DATE(2025,3,1), B72&lt;=DATE(2025,3,31)), AQ72/DDashboard!$C$4, AND(B72&gt;=DATE(2025,4,1), B72&lt;=DATE(2025,4,30)), AQ72/DDashboard!$C$5,AND(B72&gt;=DATE(2025,5,1), B72&lt;=DATE(2025,5,31)), AQ72/DDashboard!$C$6,AND(B72&gt;=DATE(2025,6,1), B72&lt;=DATE(2025,6,30)), AQ72/DDashboard!$C$7,AND(B72&gt;=DATE(2025,7,1), B72&lt;=DATE(2025,7,31)), AQ72/DDashboard!$C$8,AND(B72&gt;=DATE(2025,8,1), B72&lt;=DATE(2025,8,31)), AQ72/DDashboard!$C$9,AND(B72&gt;=DATE(2025,9,1), B72&lt;=DATE(2025,9,30)), AQ72/DDashboard!$C$10,AND(B72&gt;=DATE(2025,10,1), B72&lt;=DATE(2025,10,31)), AQ72/DDashboard!$C$11,AND(B72&gt;=DATE(2025,11,1), B72&lt;=DATE(2025,11,30)), AQ72/DDashboard!$C$12, AND(B72&gt;=DATE(2025,12,1), B72&lt;=DATE(2025,12,31)), AQ72/DDashboard!$C$13, True, "")
</f>
        <v/>
      </c>
      <c r="AS72" s="200" t="str">
        <f t="array" ref="AS72">IF(ISBLANK(C72), "", SUM($AR$9:AR72)
)</f>
        <v/>
      </c>
      <c r="AT72" s="169" t="b">
        <v>0</v>
      </c>
      <c r="AU72" s="169"/>
      <c r="AV72" s="169"/>
      <c r="AW72" s="169"/>
      <c r="AX72" s="32"/>
    </row>
    <row r="73">
      <c r="A73" s="389">
        <v>72.0</v>
      </c>
      <c r="B73" s="138"/>
      <c r="C73" s="139"/>
      <c r="D73" s="401"/>
      <c r="E73" s="401"/>
      <c r="F73" s="142"/>
      <c r="G73" s="398" t="str">
        <f t="shared" si="1"/>
        <v/>
      </c>
      <c r="H73" s="144"/>
      <c r="I73" s="144"/>
      <c r="J73" s="141"/>
      <c r="K73" s="145" t="str">
        <f>IFERROR(__xludf.DUMMYFUNCTION("IF(ISBLANK(C73), """", GOOGLEFINANCE(""NSE:"" &amp; C73,""price""))"),"")</f>
        <v/>
      </c>
      <c r="L73" s="146"/>
      <c r="M73" s="147"/>
      <c r="N73" s="148"/>
      <c r="O73" s="225"/>
      <c r="P73" s="226"/>
      <c r="Q73" s="368"/>
      <c r="R73" s="152"/>
      <c r="S73" s="150"/>
      <c r="T73" s="377"/>
      <c r="U73" s="153" t="str">
        <f t="shared" si="23"/>
        <v/>
      </c>
      <c r="V73" s="154" t="str">
        <f>IFS(AND(B73&gt;=DATE(2025,1,1), B73&lt;=DATE(2025,1,31)), U73/DDashboard!$C$2, AND(B73&gt;=DATE(2025,2,1), B73&lt;=DATE(2025,2,28)), U73/DDashboard!$C$3, AND(B73&gt;=DATE(2025,3,1), B73&lt;=DATE(2025,3,31)), U73/DDashboard!$C$4, AND(B73&gt;=DATE(2025,4,1), B73&lt;=DATE(2025,4,30)), U73/DDashboard!$C$5,AND(B73&gt;=DATE(2025,5,1), B73&lt;=DATE(2025,5,31)), U73/DDashboard!$C$6,AND(B73&gt;=DATE(2025,6,1), B73&lt;=DATE(2025,6,30)), U73/DDashboard!$C$7,AND(B73&gt;=DATE(2025,7,1), B73&lt;=DATE(2025,7,31)), U73/DDashboard!$C$8,AND(B73&gt;=DATE(2025,8,1), B73&lt;=DATE(2025,8,31)), U73/DDashboard!$C$9,AND(B73&gt;=DATE(2025,9,1), B73&lt;=DATE(2025,9,30)), U73/DDashboard!$C$10,AND(B73&gt;=DATE(2025,10,1), B73&lt;=DATE(2025,10,31)), U73/DDashboard!$C$11,AND(B73&gt;=DATE(2025,11,1), B73&lt;=DATE(2025,11,30)), U73/DDashboard!$C$12, AND(B73&gt;=DATE(2025,12,1), B73&lt;=DATE(2025,12,31)), U73/DDashboard!$C$13, True, "")
</f>
        <v/>
      </c>
      <c r="W73" s="65" t="str">
        <f t="shared" si="3"/>
        <v/>
      </c>
      <c r="X73" s="155"/>
      <c r="Y73" s="156"/>
      <c r="Z73" s="182"/>
      <c r="AA73" s="155"/>
      <c r="AB73" s="156"/>
      <c r="AC73" s="375"/>
      <c r="AD73" s="358"/>
      <c r="AE73" s="359"/>
      <c r="AF73" s="360"/>
      <c r="AG73" s="160" t="str">
        <f t="shared" si="4"/>
        <v/>
      </c>
      <c r="AH73" s="393" t="str">
        <f t="shared" si="5"/>
        <v/>
      </c>
      <c r="AI73" s="161" t="str">
        <f t="shared" si="24"/>
        <v/>
      </c>
      <c r="AJ73" s="365" t="str">
        <f t="shared" si="7"/>
        <v/>
      </c>
      <c r="AK73" s="162" t="str">
        <f t="shared" si="25"/>
        <v/>
      </c>
      <c r="AL73" s="161" t="str">
        <f t="shared" si="22"/>
        <v/>
      </c>
      <c r="AM73" s="163" t="str">
        <f>IF(AN73="", "", IF(AN73="Closed", IF(ISNUMBER(AF73), AF73-B73,IF(ISNUMBER(AC73), AC73-B73,IF(ISNUMBER(Z73), Z73-B73, ""))), TODAY()-B73))
</f>
        <v/>
      </c>
      <c r="AN73" s="381" t="str">
        <f t="shared" si="11"/>
        <v/>
      </c>
      <c r="AO73" s="366" t="str">
        <f t="shared" si="12"/>
        <v/>
      </c>
      <c r="AP73" s="166" t="str">
        <f t="shared" si="13"/>
        <v/>
      </c>
      <c r="AQ73" s="167" t="str">
        <f t="shared" si="26"/>
        <v/>
      </c>
      <c r="AR73" s="168" t="str">
        <f>IFS(AND(B73&gt;=DATE(2025,1,1), B73&lt;=DATE(2025,1,31)), AQ73/DDashboard!$C$2, AND(B73&gt;=DATE(2025,2,1), B73&lt;=DATE(2025,2,28)), AQ73/DDashboard!$C$3, AND(B73&gt;=DATE(2025,3,1), B73&lt;=DATE(2025,3,31)), AQ73/DDashboard!$C$4, AND(B73&gt;=DATE(2025,4,1), B73&lt;=DATE(2025,4,30)), AQ73/DDashboard!$C$5,AND(B73&gt;=DATE(2025,5,1), B73&lt;=DATE(2025,5,31)), AQ73/DDashboard!$C$6,AND(B73&gt;=DATE(2025,6,1), B73&lt;=DATE(2025,6,30)), AQ73/DDashboard!$C$7,AND(B73&gt;=DATE(2025,7,1), B73&lt;=DATE(2025,7,31)), AQ73/DDashboard!$C$8,AND(B73&gt;=DATE(2025,8,1), B73&lt;=DATE(2025,8,31)), AQ73/DDashboard!$C$9,AND(B73&gt;=DATE(2025,9,1), B73&lt;=DATE(2025,9,30)), AQ73/DDashboard!$C$10,AND(B73&gt;=DATE(2025,10,1), B73&lt;=DATE(2025,10,31)), AQ73/DDashboard!$C$11,AND(B73&gt;=DATE(2025,11,1), B73&lt;=DATE(2025,11,30)), AQ73/DDashboard!$C$12, AND(B73&gt;=DATE(2025,12,1), B73&lt;=DATE(2025,12,31)), AQ73/DDashboard!$C$13, True, "")
</f>
        <v/>
      </c>
      <c r="AS73" s="200" t="str">
        <f t="array" ref="AS73">IF(ISBLANK(C73), "", SUM($AR$9:AR73)
)</f>
        <v/>
      </c>
      <c r="AT73" s="169" t="b">
        <v>0</v>
      </c>
      <c r="AU73" s="169"/>
      <c r="AV73" s="169"/>
      <c r="AW73" s="169"/>
      <c r="AX73" s="183"/>
    </row>
    <row r="74">
      <c r="A74" s="388">
        <v>73.0</v>
      </c>
      <c r="B74" s="184"/>
      <c r="C74" s="185"/>
      <c r="D74" s="400"/>
      <c r="E74" s="400"/>
      <c r="F74" s="188"/>
      <c r="G74" s="397" t="str">
        <f t="shared" si="1"/>
        <v/>
      </c>
      <c r="H74" s="190"/>
      <c r="I74" s="402"/>
      <c r="J74" s="187"/>
      <c r="K74" s="145" t="str">
        <f>IFERROR(__xludf.DUMMYFUNCTION("IF(ISBLANK(C74), """", GOOGLEFINANCE(""NSE:"" &amp; C74,""price""))"),"")</f>
        <v/>
      </c>
      <c r="L74" s="213"/>
      <c r="M74" s="193"/>
      <c r="N74" s="194"/>
      <c r="O74" s="195"/>
      <c r="P74" s="196"/>
      <c r="Q74" s="376"/>
      <c r="R74" s="198"/>
      <c r="S74" s="196"/>
      <c r="T74" s="376"/>
      <c r="U74" s="199" t="str">
        <f t="shared" si="23"/>
        <v/>
      </c>
      <c r="V74" s="200" t="str">
        <f>IFS(AND(B74&gt;=DATE(2025,1,1), B74&lt;=DATE(2025,1,31)), U74/DDashboard!$C$2, AND(B74&gt;=DATE(2025,2,1), B74&lt;=DATE(2025,2,28)), U74/DDashboard!$C$3, AND(B74&gt;=DATE(2025,3,1), B74&lt;=DATE(2025,3,31)), U74/DDashboard!$C$4, AND(B74&gt;=DATE(2025,4,1), B74&lt;=DATE(2025,4,30)), U74/DDashboard!$C$5,AND(B74&gt;=DATE(2025,5,1), B74&lt;=DATE(2025,5,31)), U74/DDashboard!$C$6,AND(B74&gt;=DATE(2025,6,1), B74&lt;=DATE(2025,6,30)), U74/DDashboard!$C$7,AND(B74&gt;=DATE(2025,7,1), B74&lt;=DATE(2025,7,31)), U74/DDashboard!$C$8,AND(B74&gt;=DATE(2025,8,1), B74&lt;=DATE(2025,8,31)), U74/DDashboard!$C$9,AND(B74&gt;=DATE(2025,9,1), B74&lt;=DATE(2025,9,30)), U74/DDashboard!$C$10,AND(B74&gt;=DATE(2025,10,1), B74&lt;=DATE(2025,10,31)), U74/DDashboard!$C$11,AND(B74&gt;=DATE(2025,11,1), B74&lt;=DATE(2025,11,30)), U74/DDashboard!$C$12, AND(B74&gt;=DATE(2025,12,1), B74&lt;=DATE(2025,12,31)), U74/DDashboard!$C$13, True, "")
</f>
        <v/>
      </c>
      <c r="W74" s="201" t="str">
        <f t="shared" si="3"/>
        <v/>
      </c>
      <c r="X74" s="202"/>
      <c r="Y74" s="203"/>
      <c r="Z74" s="384"/>
      <c r="AA74" s="198"/>
      <c r="AB74" s="222"/>
      <c r="AC74" s="223"/>
      <c r="AD74" s="195"/>
      <c r="AE74" s="222"/>
      <c r="AF74" s="223"/>
      <c r="AG74" s="206" t="str">
        <f t="shared" si="4"/>
        <v/>
      </c>
      <c r="AH74" s="385" t="str">
        <f t="shared" si="5"/>
        <v/>
      </c>
      <c r="AI74" s="207" t="str">
        <f t="shared" si="24"/>
        <v/>
      </c>
      <c r="AJ74" s="367" t="str">
        <f t="shared" si="7"/>
        <v/>
      </c>
      <c r="AK74" s="208" t="str">
        <f t="shared" si="25"/>
        <v/>
      </c>
      <c r="AL74" s="207" t="str">
        <f t="shared" si="22"/>
        <v/>
      </c>
      <c r="AM74" s="209" t="str">
        <f>IF(AN74="", "", IF(AN74="Closed", 
    IF(ISNUMBER(AF74), AF74-B74,
        IF(ISNUMBER(AC74), AC74-B74,
            IF(ISNUMBER(Z74), Z74-B74, "")
        )
    ), 
    TODAY()-B74))</f>
        <v/>
      </c>
      <c r="AN74" s="386" t="str">
        <f t="shared" si="11"/>
        <v/>
      </c>
      <c r="AO74" s="366" t="str">
        <f t="shared" si="12"/>
        <v/>
      </c>
      <c r="AP74" s="210" t="str">
        <f t="shared" si="13"/>
        <v/>
      </c>
      <c r="AQ74" s="196" t="str">
        <f t="shared" si="26"/>
        <v/>
      </c>
      <c r="AR74" s="168" t="str">
        <f>IFS(AND(B74&gt;=DATE(2025,1,1), B74&lt;=DATE(2025,1,31)), AQ74/DDashboard!$C$2, AND(B74&gt;=DATE(2025,2,1), B74&lt;=DATE(2025,2,28)), AQ74/DDashboard!$C$3, AND(B74&gt;=DATE(2025,3,1), B74&lt;=DATE(2025,3,31)), AQ74/DDashboard!$C$4, AND(B74&gt;=DATE(2025,4,1), B74&lt;=DATE(2025,4,30)), AQ74/DDashboard!$C$5,AND(B74&gt;=DATE(2025,5,1), B74&lt;=DATE(2025,5,31)), AQ74/DDashboard!$C$6,AND(B74&gt;=DATE(2025,6,1), B74&lt;=DATE(2025,6,30)), AQ74/DDashboard!$C$7,AND(B74&gt;=DATE(2025,7,1), B74&lt;=DATE(2025,7,31)), AQ74/DDashboard!$C$8,AND(B74&gt;=DATE(2025,8,1), B74&lt;=DATE(2025,8,31)), AQ74/DDashboard!$C$9,AND(B74&gt;=DATE(2025,9,1), B74&lt;=DATE(2025,9,30)), AQ74/DDashboard!$C$10,AND(B74&gt;=DATE(2025,10,1), B74&lt;=DATE(2025,10,31)), AQ74/DDashboard!$C$11,AND(B74&gt;=DATE(2025,11,1), B74&lt;=DATE(2025,11,30)), AQ74/DDashboard!$C$12, AND(B74&gt;=DATE(2025,12,1), B74&lt;=DATE(2025,12,31)), AQ74/DDashboard!$C$13, True, "")
</f>
        <v/>
      </c>
      <c r="AS74" s="200" t="str">
        <f t="array" ref="AS74">IF(ISBLANK(C74), "", SUM($AR$9:AR74)
)</f>
        <v/>
      </c>
      <c r="AT74" s="169" t="b">
        <v>0</v>
      </c>
      <c r="AU74" s="169"/>
      <c r="AV74" s="169"/>
      <c r="AW74" s="169"/>
      <c r="AX74" s="387"/>
    </row>
    <row r="75">
      <c r="A75" s="389">
        <v>74.0</v>
      </c>
      <c r="B75" s="138"/>
      <c r="C75" s="139"/>
      <c r="D75" s="403"/>
      <c r="E75" s="403"/>
      <c r="F75" s="142"/>
      <c r="G75" s="398" t="str">
        <f t="shared" si="1"/>
        <v/>
      </c>
      <c r="H75" s="144"/>
      <c r="I75" s="399"/>
      <c r="J75" s="141"/>
      <c r="K75" s="145" t="str">
        <f>IFERROR(__xludf.DUMMYFUNCTION("IF(ISBLANK(C75), """", GOOGLEFINANCE(""NSE:"" &amp; C75,""price""))"),"")</f>
        <v/>
      </c>
      <c r="L75" s="146"/>
      <c r="M75" s="147"/>
      <c r="N75" s="148"/>
      <c r="O75" s="149"/>
      <c r="P75" s="150"/>
      <c r="Q75" s="377"/>
      <c r="R75" s="152"/>
      <c r="S75" s="150"/>
      <c r="T75" s="377"/>
      <c r="U75" s="153" t="str">
        <f t="shared" si="23"/>
        <v/>
      </c>
      <c r="V75" s="154" t="str">
        <f>IFS(AND(B75&gt;=DATE(2025,1,1), B75&lt;=DATE(2025,1,31)), U75/DDashboard!$C$2, AND(B75&gt;=DATE(2025,2,1), B75&lt;=DATE(2025,2,28)), U75/DDashboard!$C$3, AND(B75&gt;=DATE(2025,3,1), B75&lt;=DATE(2025,3,31)), U75/DDashboard!$C$4, AND(B75&gt;=DATE(2025,4,1), B75&lt;=DATE(2025,4,30)), U75/DDashboard!$C$5,AND(B75&gt;=DATE(2025,5,1), B75&lt;=DATE(2025,5,31)), U75/DDashboard!$C$6,AND(B75&gt;=DATE(2025,6,1), B75&lt;=DATE(2025,6,30)), U75/DDashboard!$C$7,AND(B75&gt;=DATE(2025,7,1), B75&lt;=DATE(2025,7,31)), U75/DDashboard!$C$8,AND(B75&gt;=DATE(2025,8,1), B75&lt;=DATE(2025,8,31)), U75/DDashboard!$C$9,AND(B75&gt;=DATE(2025,9,1), B75&lt;=DATE(2025,9,30)), U75/DDashboard!$C$10,AND(B75&gt;=DATE(2025,10,1), B75&lt;=DATE(2025,10,31)), U75/DDashboard!$C$11,AND(B75&gt;=DATE(2025,11,1), B75&lt;=DATE(2025,11,30)), U75/DDashboard!$C$12, AND(B75&gt;=DATE(2025,12,1), B75&lt;=DATE(2025,12,31)), U75/DDashboard!$C$13, True, "")
</f>
        <v/>
      </c>
      <c r="W75" s="65" t="str">
        <f t="shared" si="3"/>
        <v/>
      </c>
      <c r="X75" s="155"/>
      <c r="Y75" s="156"/>
      <c r="Z75" s="392"/>
      <c r="AA75" s="390"/>
      <c r="AB75" s="359"/>
      <c r="AC75" s="360"/>
      <c r="AD75" s="358"/>
      <c r="AE75" s="359"/>
      <c r="AF75" s="360"/>
      <c r="AG75" s="160" t="str">
        <f t="shared" si="4"/>
        <v/>
      </c>
      <c r="AH75" s="393" t="str">
        <f t="shared" si="5"/>
        <v/>
      </c>
      <c r="AI75" s="161" t="str">
        <f t="shared" si="24"/>
        <v/>
      </c>
      <c r="AJ75" s="365" t="str">
        <f t="shared" si="7"/>
        <v/>
      </c>
      <c r="AK75" s="162" t="str">
        <f t="shared" si="25"/>
        <v/>
      </c>
      <c r="AL75" s="161" t="str">
        <f t="shared" si="22"/>
        <v/>
      </c>
      <c r="AM75" s="163" t="str">
        <f>IF(AN75="", "", IF(AN75="Closed", IF(ISNUMBER(AF75), AF75-B75,IF(ISNUMBER(AC75), AC75-B75,IF(ISNUMBER(Z75), Z75-B75, ""))), TODAY()-B75))
</f>
        <v/>
      </c>
      <c r="AN75" s="381" t="str">
        <f t="shared" si="11"/>
        <v/>
      </c>
      <c r="AO75" s="366" t="str">
        <f t="shared" si="12"/>
        <v/>
      </c>
      <c r="AP75" s="166" t="str">
        <f t="shared" si="13"/>
        <v/>
      </c>
      <c r="AQ75" s="167" t="str">
        <f t="shared" si="26"/>
        <v/>
      </c>
      <c r="AR75" s="168" t="str">
        <f>IFS(AND(B75&gt;=DATE(2025,1,1), B75&lt;=DATE(2025,1,31)), AQ75/DDashboard!$C$2, AND(B75&gt;=DATE(2025,2,1), B75&lt;=DATE(2025,2,28)), AQ75/DDashboard!$C$3, AND(B75&gt;=DATE(2025,3,1), B75&lt;=DATE(2025,3,31)), AQ75/DDashboard!$C$4, AND(B75&gt;=DATE(2025,4,1), B75&lt;=DATE(2025,4,30)), AQ75/DDashboard!$C$5,AND(B75&gt;=DATE(2025,5,1), B75&lt;=DATE(2025,5,31)), AQ75/DDashboard!$C$6,AND(B75&gt;=DATE(2025,6,1), B75&lt;=DATE(2025,6,30)), AQ75/DDashboard!$C$7,AND(B75&gt;=DATE(2025,7,1), B75&lt;=DATE(2025,7,31)), AQ75/DDashboard!$C$8,AND(B75&gt;=DATE(2025,8,1), B75&lt;=DATE(2025,8,31)), AQ75/DDashboard!$C$9,AND(B75&gt;=DATE(2025,9,1), B75&lt;=DATE(2025,9,30)), AQ75/DDashboard!$C$10,AND(B75&gt;=DATE(2025,10,1), B75&lt;=DATE(2025,10,31)), AQ75/DDashboard!$C$11,AND(B75&gt;=DATE(2025,11,1), B75&lt;=DATE(2025,11,30)), AQ75/DDashboard!$C$12, AND(B75&gt;=DATE(2025,12,1), B75&lt;=DATE(2025,12,31)), AQ75/DDashboard!$C$13, True, "")
</f>
        <v/>
      </c>
      <c r="AS75" s="200" t="str">
        <f t="array" ref="AS75">IF(ISBLANK(C75), "", SUM($AR$9:AR75)
)</f>
        <v/>
      </c>
      <c r="AT75" s="169" t="b">
        <v>0</v>
      </c>
      <c r="AU75" s="169"/>
      <c r="AV75" s="169"/>
      <c r="AW75" s="169"/>
      <c r="AX75" s="183"/>
    </row>
    <row r="76">
      <c r="A76" s="388">
        <v>75.0</v>
      </c>
      <c r="B76" s="184"/>
      <c r="C76" s="185"/>
      <c r="D76" s="404"/>
      <c r="E76" s="404"/>
      <c r="F76" s="188"/>
      <c r="G76" s="397" t="str">
        <f t="shared" si="1"/>
        <v/>
      </c>
      <c r="H76" s="190"/>
      <c r="I76" s="190"/>
      <c r="J76" s="187"/>
      <c r="K76" s="145" t="str">
        <f>IFERROR(__xludf.DUMMYFUNCTION("IF(ISBLANK(C76), """", GOOGLEFINANCE(""NSE:"" &amp; C76,""price""))"),"")</f>
        <v/>
      </c>
      <c r="L76" s="213"/>
      <c r="M76" s="193"/>
      <c r="N76" s="194"/>
      <c r="O76" s="195"/>
      <c r="P76" s="196"/>
      <c r="Q76" s="376"/>
      <c r="R76" s="198"/>
      <c r="S76" s="196"/>
      <c r="T76" s="376"/>
      <c r="U76" s="199" t="str">
        <f t="shared" si="23"/>
        <v/>
      </c>
      <c r="V76" s="200" t="str">
        <f>IFS(AND(B76&gt;=DATE(2025,1,1), B76&lt;=DATE(2025,1,31)), U76/DDashboard!$C$2, AND(B76&gt;=DATE(2025,2,1), B76&lt;=DATE(2025,2,28)), U76/DDashboard!$C$3, AND(B76&gt;=DATE(2025,3,1), B76&lt;=DATE(2025,3,31)), U76/DDashboard!$C$4, AND(B76&gt;=DATE(2025,4,1), B76&lt;=DATE(2025,4,30)), U76/DDashboard!$C$5,AND(B76&gt;=DATE(2025,5,1), B76&lt;=DATE(2025,5,31)), U76/DDashboard!$C$6,AND(B76&gt;=DATE(2025,6,1), B76&lt;=DATE(2025,6,30)), U76/DDashboard!$C$7,AND(B76&gt;=DATE(2025,7,1), B76&lt;=DATE(2025,7,31)), U76/DDashboard!$C$8,AND(B76&gt;=DATE(2025,8,1), B76&lt;=DATE(2025,8,31)), U76/DDashboard!$C$9,AND(B76&gt;=DATE(2025,9,1), B76&lt;=DATE(2025,9,30)), U76/DDashboard!$C$10,AND(B76&gt;=DATE(2025,10,1), B76&lt;=DATE(2025,10,31)), U76/DDashboard!$C$11,AND(B76&gt;=DATE(2025,11,1), B76&lt;=DATE(2025,11,30)), U76/DDashboard!$C$12, AND(B76&gt;=DATE(2025,12,1), B76&lt;=DATE(2025,12,31)), U76/DDashboard!$C$13, True, "")
</f>
        <v/>
      </c>
      <c r="W76" s="201" t="str">
        <f t="shared" si="3"/>
        <v/>
      </c>
      <c r="X76" s="202"/>
      <c r="Y76" s="203"/>
      <c r="Z76" s="391"/>
      <c r="AA76" s="202"/>
      <c r="AB76" s="203"/>
      <c r="AC76" s="372"/>
      <c r="AD76" s="195"/>
      <c r="AE76" s="222"/>
      <c r="AF76" s="223"/>
      <c r="AG76" s="206" t="str">
        <f t="shared" si="4"/>
        <v/>
      </c>
      <c r="AH76" s="385" t="str">
        <f t="shared" si="5"/>
        <v/>
      </c>
      <c r="AI76" s="207" t="str">
        <f t="shared" si="24"/>
        <v/>
      </c>
      <c r="AJ76" s="367" t="str">
        <f t="shared" si="7"/>
        <v/>
      </c>
      <c r="AK76" s="208" t="str">
        <f t="shared" si="25"/>
        <v/>
      </c>
      <c r="AL76" s="207" t="str">
        <f t="shared" si="22"/>
        <v/>
      </c>
      <c r="AM76" s="209" t="str">
        <f>IF(AN76="", "", IF(AN76="Closed", 
    IF(ISNUMBER(AF76), AF76-B76,
        IF(ISNUMBER(AC76), AC76-B76,
            IF(ISNUMBER(Z76), Z76-B76, "")
        )
    ), 
    TODAY()-B76))</f>
        <v/>
      </c>
      <c r="AN76" s="386" t="str">
        <f t="shared" si="11"/>
        <v/>
      </c>
      <c r="AO76" s="366" t="str">
        <f t="shared" si="12"/>
        <v/>
      </c>
      <c r="AP76" s="210" t="str">
        <f t="shared" si="13"/>
        <v/>
      </c>
      <c r="AQ76" s="196" t="str">
        <f t="shared" si="26"/>
        <v/>
      </c>
      <c r="AR76" s="168" t="str">
        <f>IFS(AND(B76&gt;=DATE(2025,1,1), B76&lt;=DATE(2025,1,31)), AQ76/DDashboard!$C$2, AND(B76&gt;=DATE(2025,2,1), B76&lt;=DATE(2025,2,28)), AQ76/DDashboard!$C$3, AND(B76&gt;=DATE(2025,3,1), B76&lt;=DATE(2025,3,31)), AQ76/DDashboard!$C$4, AND(B76&gt;=DATE(2025,4,1), B76&lt;=DATE(2025,4,30)), AQ76/DDashboard!$C$5,AND(B76&gt;=DATE(2025,5,1), B76&lt;=DATE(2025,5,31)), AQ76/DDashboard!$C$6,AND(B76&gt;=DATE(2025,6,1), B76&lt;=DATE(2025,6,30)), AQ76/DDashboard!$C$7,AND(B76&gt;=DATE(2025,7,1), B76&lt;=DATE(2025,7,31)), AQ76/DDashboard!$C$8,AND(B76&gt;=DATE(2025,8,1), B76&lt;=DATE(2025,8,31)), AQ76/DDashboard!$C$9,AND(B76&gt;=DATE(2025,9,1), B76&lt;=DATE(2025,9,30)), AQ76/DDashboard!$C$10,AND(B76&gt;=DATE(2025,10,1), B76&lt;=DATE(2025,10,31)), AQ76/DDashboard!$C$11,AND(B76&gt;=DATE(2025,11,1), B76&lt;=DATE(2025,11,30)), AQ76/DDashboard!$C$12, AND(B76&gt;=DATE(2025,12,1), B76&lt;=DATE(2025,12,31)), AQ76/DDashboard!$C$13, True, "")
</f>
        <v/>
      </c>
      <c r="AS76" s="200" t="str">
        <f t="array" ref="AS76">IF(ISBLANK(C76), "", SUM($AR$9:AR76)
)</f>
        <v/>
      </c>
      <c r="AT76" s="169" t="b">
        <v>0</v>
      </c>
      <c r="AU76" s="169"/>
      <c r="AV76" s="169"/>
      <c r="AW76" s="169"/>
      <c r="AX76" s="32"/>
    </row>
    <row r="77">
      <c r="A77" s="389">
        <v>76.0</v>
      </c>
      <c r="B77" s="138"/>
      <c r="C77" s="139"/>
      <c r="D77" s="401"/>
      <c r="E77" s="403"/>
      <c r="F77" s="142"/>
      <c r="G77" s="398" t="str">
        <f t="shared" si="1"/>
        <v/>
      </c>
      <c r="H77" s="399"/>
      <c r="I77" s="399"/>
      <c r="J77" s="141"/>
      <c r="K77" s="145" t="str">
        <f>IFERROR(__xludf.DUMMYFUNCTION("IF(ISBLANK(C77), """", GOOGLEFINANCE(""NSE:"" &amp; C77,""price""))"),"")</f>
        <v/>
      </c>
      <c r="L77" s="146"/>
      <c r="M77" s="147"/>
      <c r="N77" s="148"/>
      <c r="O77" s="149"/>
      <c r="P77" s="150"/>
      <c r="Q77" s="377"/>
      <c r="R77" s="152"/>
      <c r="S77" s="150"/>
      <c r="T77" s="377"/>
      <c r="U77" s="153" t="str">
        <f t="shared" si="23"/>
        <v/>
      </c>
      <c r="V77" s="154" t="str">
        <f>IFS(AND(B77&gt;=DATE(2025,1,1), B77&lt;=DATE(2025,1,31)), U77/DDashboard!$C$2, AND(B77&gt;=DATE(2025,2,1), B77&lt;=DATE(2025,2,28)), U77/DDashboard!$C$3, AND(B77&gt;=DATE(2025,3,1), B77&lt;=DATE(2025,3,31)), U77/DDashboard!$C$4, AND(B77&gt;=DATE(2025,4,1), B77&lt;=DATE(2025,4,30)), U77/DDashboard!$C$5,AND(B77&gt;=DATE(2025,5,1), B77&lt;=DATE(2025,5,31)), U77/DDashboard!$C$6,AND(B77&gt;=DATE(2025,6,1), B77&lt;=DATE(2025,6,30)), U77/DDashboard!$C$7,AND(B77&gt;=DATE(2025,7,1), B77&lt;=DATE(2025,7,31)), U77/DDashboard!$C$8,AND(B77&gt;=DATE(2025,8,1), B77&lt;=DATE(2025,8,31)), U77/DDashboard!$C$9,AND(B77&gt;=DATE(2025,9,1), B77&lt;=DATE(2025,9,30)), U77/DDashboard!$C$10,AND(B77&gt;=DATE(2025,10,1), B77&lt;=DATE(2025,10,31)), U77/DDashboard!$C$11,AND(B77&gt;=DATE(2025,11,1), B77&lt;=DATE(2025,11,30)), U77/DDashboard!$C$12, AND(B77&gt;=DATE(2025,12,1), B77&lt;=DATE(2025,12,31)), U77/DDashboard!$C$13, True, "")
</f>
        <v/>
      </c>
      <c r="W77" s="65" t="str">
        <f t="shared" si="3"/>
        <v/>
      </c>
      <c r="X77" s="155"/>
      <c r="Y77" s="156"/>
      <c r="Z77" s="392"/>
      <c r="AA77" s="390"/>
      <c r="AB77" s="359"/>
      <c r="AC77" s="360"/>
      <c r="AD77" s="358"/>
      <c r="AE77" s="359"/>
      <c r="AF77" s="360"/>
      <c r="AG77" s="160" t="str">
        <f t="shared" si="4"/>
        <v/>
      </c>
      <c r="AH77" s="393" t="str">
        <f t="shared" si="5"/>
        <v/>
      </c>
      <c r="AI77" s="161" t="str">
        <f t="shared" si="24"/>
        <v/>
      </c>
      <c r="AJ77" s="365" t="str">
        <f t="shared" si="7"/>
        <v/>
      </c>
      <c r="AK77" s="162" t="str">
        <f t="shared" si="25"/>
        <v/>
      </c>
      <c r="AL77" s="161" t="str">
        <f t="shared" si="22"/>
        <v/>
      </c>
      <c r="AM77" s="163" t="str">
        <f>IF(AN77="", "", IF(AN77="Closed", IF(ISNUMBER(AF77), AF77-B77,IF(ISNUMBER(AC77), AC77-B77,IF(ISNUMBER(Z77), Z77-B77, ""))), TODAY()-B77))
</f>
        <v/>
      </c>
      <c r="AN77" s="381" t="str">
        <f t="shared" si="11"/>
        <v/>
      </c>
      <c r="AO77" s="366" t="str">
        <f t="shared" si="12"/>
        <v/>
      </c>
      <c r="AP77" s="166" t="str">
        <f t="shared" si="13"/>
        <v/>
      </c>
      <c r="AQ77" s="167" t="str">
        <f t="shared" si="26"/>
        <v/>
      </c>
      <c r="AR77" s="168" t="str">
        <f>IFS(AND(B77&gt;=DATE(2025,1,1), B77&lt;=DATE(2025,1,31)), AQ77/DDashboard!$C$2, AND(B77&gt;=DATE(2025,2,1), B77&lt;=DATE(2025,2,28)), AQ77/DDashboard!$C$3, AND(B77&gt;=DATE(2025,3,1), B77&lt;=DATE(2025,3,31)), AQ77/DDashboard!$C$4, AND(B77&gt;=DATE(2025,4,1), B77&lt;=DATE(2025,4,30)), AQ77/DDashboard!$C$5,AND(B77&gt;=DATE(2025,5,1), B77&lt;=DATE(2025,5,31)), AQ77/DDashboard!$C$6,AND(B77&gt;=DATE(2025,6,1), B77&lt;=DATE(2025,6,30)), AQ77/DDashboard!$C$7,AND(B77&gt;=DATE(2025,7,1), B77&lt;=DATE(2025,7,31)), AQ77/DDashboard!$C$8,AND(B77&gt;=DATE(2025,8,1), B77&lt;=DATE(2025,8,31)), AQ77/DDashboard!$C$9,AND(B77&gt;=DATE(2025,9,1), B77&lt;=DATE(2025,9,30)), AQ77/DDashboard!$C$10,AND(B77&gt;=DATE(2025,10,1), B77&lt;=DATE(2025,10,31)), AQ77/DDashboard!$C$11,AND(B77&gt;=DATE(2025,11,1), B77&lt;=DATE(2025,11,30)), AQ77/DDashboard!$C$12, AND(B77&gt;=DATE(2025,12,1), B77&lt;=DATE(2025,12,31)), AQ77/DDashboard!$C$13, True, "")
</f>
        <v/>
      </c>
      <c r="AS77" s="200" t="str">
        <f t="array" ref="AS77">IF(ISBLANK(C77), "", SUM($AR$9:AR77)
)</f>
        <v/>
      </c>
      <c r="AT77" s="169" t="b">
        <v>0</v>
      </c>
      <c r="AU77" s="169"/>
      <c r="AV77" s="169"/>
      <c r="AW77" s="169"/>
      <c r="AX77" s="383"/>
    </row>
    <row r="78">
      <c r="A78" s="388">
        <v>77.0</v>
      </c>
      <c r="B78" s="184"/>
      <c r="C78" s="185"/>
      <c r="D78" s="404"/>
      <c r="E78" s="404"/>
      <c r="F78" s="188"/>
      <c r="G78" s="397" t="str">
        <f t="shared" si="1"/>
        <v/>
      </c>
      <c r="H78" s="190"/>
      <c r="I78" s="190"/>
      <c r="J78" s="187"/>
      <c r="K78" s="145" t="str">
        <f>IFERROR(__xludf.DUMMYFUNCTION("IF(ISBLANK(C78), """", GOOGLEFINANCE(""NSE:"" &amp; C78,""price""))"),"")</f>
        <v/>
      </c>
      <c r="L78" s="213"/>
      <c r="M78" s="193"/>
      <c r="N78" s="194"/>
      <c r="O78" s="195"/>
      <c r="P78" s="196"/>
      <c r="Q78" s="376"/>
      <c r="R78" s="198"/>
      <c r="S78" s="196"/>
      <c r="T78" s="376"/>
      <c r="U78" s="199" t="str">
        <f t="shared" si="23"/>
        <v/>
      </c>
      <c r="V78" s="200" t="str">
        <f>IFS(AND(B78&gt;=DATE(2025,1,1), B78&lt;=DATE(2025,1,31)), U78/DDashboard!$C$2, AND(B78&gt;=DATE(2025,2,1), B78&lt;=DATE(2025,2,28)), U78/DDashboard!$C$3, AND(B78&gt;=DATE(2025,3,1), B78&lt;=DATE(2025,3,31)), U78/DDashboard!$C$4, AND(B78&gt;=DATE(2025,4,1), B78&lt;=DATE(2025,4,30)), U78/DDashboard!$C$5,AND(B78&gt;=DATE(2025,5,1), B78&lt;=DATE(2025,5,31)), U78/DDashboard!$C$6,AND(B78&gt;=DATE(2025,6,1), B78&lt;=DATE(2025,6,30)), U78/DDashboard!$C$7,AND(B78&gt;=DATE(2025,7,1), B78&lt;=DATE(2025,7,31)), U78/DDashboard!$C$8,AND(B78&gt;=DATE(2025,8,1), B78&lt;=DATE(2025,8,31)), U78/DDashboard!$C$9,AND(B78&gt;=DATE(2025,9,1), B78&lt;=DATE(2025,9,30)), U78/DDashboard!$C$10,AND(B78&gt;=DATE(2025,10,1), B78&lt;=DATE(2025,10,31)), U78/DDashboard!$C$11,AND(B78&gt;=DATE(2025,11,1), B78&lt;=DATE(2025,11,30)), U78/DDashboard!$C$12, AND(B78&gt;=DATE(2025,12,1), B78&lt;=DATE(2025,12,31)), U78/DDashboard!$C$13, True, "")
</f>
        <v/>
      </c>
      <c r="W78" s="201" t="str">
        <f t="shared" si="3"/>
        <v/>
      </c>
      <c r="X78" s="202"/>
      <c r="Y78" s="203"/>
      <c r="Z78" s="391"/>
      <c r="AA78" s="198"/>
      <c r="AB78" s="222"/>
      <c r="AC78" s="223"/>
      <c r="AD78" s="195"/>
      <c r="AE78" s="222"/>
      <c r="AF78" s="223"/>
      <c r="AG78" s="206" t="str">
        <f t="shared" si="4"/>
        <v/>
      </c>
      <c r="AH78" s="385" t="str">
        <f t="shared" si="5"/>
        <v/>
      </c>
      <c r="AI78" s="207" t="str">
        <f t="shared" si="24"/>
        <v/>
      </c>
      <c r="AJ78" s="367" t="str">
        <f t="shared" si="7"/>
        <v/>
      </c>
      <c r="AK78" s="208" t="str">
        <f t="shared" si="25"/>
        <v/>
      </c>
      <c r="AL78" s="207" t="str">
        <f t="shared" si="22"/>
        <v/>
      </c>
      <c r="AM78" s="209" t="str">
        <f>IF(AN78="", "", IF(AN78="Closed", 
    IF(ISNUMBER(AF78), AF78-B78,
        IF(ISNUMBER(AC78), AC78-B78,
            IF(ISNUMBER(Z78), Z78-B78, "")
        )
    ), 
    TODAY()-B78))</f>
        <v/>
      </c>
      <c r="AN78" s="386" t="str">
        <f t="shared" si="11"/>
        <v/>
      </c>
      <c r="AO78" s="366" t="str">
        <f t="shared" si="12"/>
        <v/>
      </c>
      <c r="AP78" s="210" t="str">
        <f t="shared" si="13"/>
        <v/>
      </c>
      <c r="AQ78" s="196" t="str">
        <f t="shared" si="26"/>
        <v/>
      </c>
      <c r="AR78" s="168" t="str">
        <f>IFS(AND(B78&gt;=DATE(2025,1,1), B78&lt;=DATE(2025,1,31)), AQ78/DDashboard!$C$2, AND(B78&gt;=DATE(2025,2,1), B78&lt;=DATE(2025,2,28)), AQ78/DDashboard!$C$3, AND(B78&gt;=DATE(2025,3,1), B78&lt;=DATE(2025,3,31)), AQ78/DDashboard!$C$4, AND(B78&gt;=DATE(2025,4,1), B78&lt;=DATE(2025,4,30)), AQ78/DDashboard!$C$5,AND(B78&gt;=DATE(2025,5,1), B78&lt;=DATE(2025,5,31)), AQ78/DDashboard!$C$6,AND(B78&gt;=DATE(2025,6,1), B78&lt;=DATE(2025,6,30)), AQ78/DDashboard!$C$7,AND(B78&gt;=DATE(2025,7,1), B78&lt;=DATE(2025,7,31)), AQ78/DDashboard!$C$8,AND(B78&gt;=DATE(2025,8,1), B78&lt;=DATE(2025,8,31)), AQ78/DDashboard!$C$9,AND(B78&gt;=DATE(2025,9,1), B78&lt;=DATE(2025,9,30)), AQ78/DDashboard!$C$10,AND(B78&gt;=DATE(2025,10,1), B78&lt;=DATE(2025,10,31)), AQ78/DDashboard!$C$11,AND(B78&gt;=DATE(2025,11,1), B78&lt;=DATE(2025,11,30)), AQ78/DDashboard!$C$12, AND(B78&gt;=DATE(2025,12,1), B78&lt;=DATE(2025,12,31)), AQ78/DDashboard!$C$13, True, "")
</f>
        <v/>
      </c>
      <c r="AS78" s="200" t="str">
        <f t="array" ref="AS78">IF(ISBLANK(C78), "", SUM($AR$9:AR78)
)</f>
        <v/>
      </c>
      <c r="AT78" s="169" t="b">
        <v>0</v>
      </c>
      <c r="AU78" s="169"/>
      <c r="AV78" s="169"/>
      <c r="AW78" s="169"/>
      <c r="AX78" s="32"/>
    </row>
    <row r="79">
      <c r="A79" s="389">
        <v>78.0</v>
      </c>
      <c r="B79" s="138"/>
      <c r="C79" s="139"/>
      <c r="D79" s="403"/>
      <c r="E79" s="403"/>
      <c r="F79" s="142"/>
      <c r="G79" s="398" t="str">
        <f t="shared" si="1"/>
        <v/>
      </c>
      <c r="H79" s="144"/>
      <c r="I79" s="399"/>
      <c r="J79" s="141"/>
      <c r="K79" s="145" t="str">
        <f>IFERROR(__xludf.DUMMYFUNCTION("IF(ISBLANK(C79), """", GOOGLEFINANCE(""NSE:"" &amp; C79,""price""))"),"")</f>
        <v/>
      </c>
      <c r="L79" s="146"/>
      <c r="M79" s="147"/>
      <c r="N79" s="148"/>
      <c r="O79" s="149"/>
      <c r="P79" s="150"/>
      <c r="Q79" s="377"/>
      <c r="R79" s="152"/>
      <c r="S79" s="150"/>
      <c r="T79" s="377"/>
      <c r="U79" s="153" t="str">
        <f t="shared" si="23"/>
        <v/>
      </c>
      <c r="V79" s="154" t="str">
        <f>IFS(AND(B79&gt;=DATE(2025,1,1), B79&lt;=DATE(2025,1,31)), U79/DDashboard!$C$2, AND(B79&gt;=DATE(2025,2,1), B79&lt;=DATE(2025,2,28)), U79/DDashboard!$C$3, AND(B79&gt;=DATE(2025,3,1), B79&lt;=DATE(2025,3,31)), U79/DDashboard!$C$4, AND(B79&gt;=DATE(2025,4,1), B79&lt;=DATE(2025,4,30)), U79/DDashboard!$C$5,AND(B79&gt;=DATE(2025,5,1), B79&lt;=DATE(2025,5,31)), U79/DDashboard!$C$6,AND(B79&gt;=DATE(2025,6,1), B79&lt;=DATE(2025,6,30)), U79/DDashboard!$C$7,AND(B79&gt;=DATE(2025,7,1), B79&lt;=DATE(2025,7,31)), U79/DDashboard!$C$8,AND(B79&gt;=DATE(2025,8,1), B79&lt;=DATE(2025,8,31)), U79/DDashboard!$C$9,AND(B79&gt;=DATE(2025,9,1), B79&lt;=DATE(2025,9,30)), U79/DDashboard!$C$10,AND(B79&gt;=DATE(2025,10,1), B79&lt;=DATE(2025,10,31)), U79/DDashboard!$C$11,AND(B79&gt;=DATE(2025,11,1), B79&lt;=DATE(2025,11,30)), U79/DDashboard!$C$12, AND(B79&gt;=DATE(2025,12,1), B79&lt;=DATE(2025,12,31)), U79/DDashboard!$C$13, True, "")
</f>
        <v/>
      </c>
      <c r="W79" s="65" t="str">
        <f t="shared" si="3"/>
        <v/>
      </c>
      <c r="X79" s="155"/>
      <c r="Y79" s="156"/>
      <c r="Z79" s="392"/>
      <c r="AA79" s="390"/>
      <c r="AB79" s="359"/>
      <c r="AC79" s="360"/>
      <c r="AD79" s="358"/>
      <c r="AE79" s="359"/>
      <c r="AF79" s="360"/>
      <c r="AG79" s="160" t="str">
        <f t="shared" si="4"/>
        <v/>
      </c>
      <c r="AH79" s="393" t="str">
        <f t="shared" si="5"/>
        <v/>
      </c>
      <c r="AI79" s="161" t="str">
        <f t="shared" si="24"/>
        <v/>
      </c>
      <c r="AJ79" s="365" t="str">
        <f t="shared" si="7"/>
        <v/>
      </c>
      <c r="AK79" s="162" t="str">
        <f t="shared" si="25"/>
        <v/>
      </c>
      <c r="AL79" s="161" t="str">
        <f t="shared" si="22"/>
        <v/>
      </c>
      <c r="AM79" s="163" t="str">
        <f>IF(AN79="", "", IF(AN79="Closed", IF(ISNUMBER(AF79), AF79-B79,IF(ISNUMBER(AC79), AC79-B79,IF(ISNUMBER(Z79), Z79-B79, ""))), TODAY()-B79))
</f>
        <v/>
      </c>
      <c r="AN79" s="381" t="str">
        <f t="shared" si="11"/>
        <v/>
      </c>
      <c r="AO79" s="366" t="str">
        <f t="shared" si="12"/>
        <v/>
      </c>
      <c r="AP79" s="166" t="str">
        <f t="shared" si="13"/>
        <v/>
      </c>
      <c r="AQ79" s="167" t="str">
        <f t="shared" si="26"/>
        <v/>
      </c>
      <c r="AR79" s="168" t="str">
        <f>IFS(AND(B79&gt;=DATE(2025,1,1), B79&lt;=DATE(2025,1,31)), AQ79/DDashboard!$C$2, AND(B79&gt;=DATE(2025,2,1), B79&lt;=DATE(2025,2,28)), AQ79/DDashboard!$C$3, AND(B79&gt;=DATE(2025,3,1), B79&lt;=DATE(2025,3,31)), AQ79/DDashboard!$C$4, AND(B79&gt;=DATE(2025,4,1), B79&lt;=DATE(2025,4,30)), AQ79/DDashboard!$C$5,AND(B79&gt;=DATE(2025,5,1), B79&lt;=DATE(2025,5,31)), AQ79/DDashboard!$C$6,AND(B79&gt;=DATE(2025,6,1), B79&lt;=DATE(2025,6,30)), AQ79/DDashboard!$C$7,AND(B79&gt;=DATE(2025,7,1), B79&lt;=DATE(2025,7,31)), AQ79/DDashboard!$C$8,AND(B79&gt;=DATE(2025,8,1), B79&lt;=DATE(2025,8,31)), AQ79/DDashboard!$C$9,AND(B79&gt;=DATE(2025,9,1), B79&lt;=DATE(2025,9,30)), AQ79/DDashboard!$C$10,AND(B79&gt;=DATE(2025,10,1), B79&lt;=DATE(2025,10,31)), AQ79/DDashboard!$C$11,AND(B79&gt;=DATE(2025,11,1), B79&lt;=DATE(2025,11,30)), AQ79/DDashboard!$C$12, AND(B79&gt;=DATE(2025,12,1), B79&lt;=DATE(2025,12,31)), AQ79/DDashboard!$C$13, True, "")
</f>
        <v/>
      </c>
      <c r="AS79" s="200" t="str">
        <f t="array" ref="AS79">IF(ISBLANK(C79), "", SUM($AR$9:AR79)
)</f>
        <v/>
      </c>
      <c r="AT79" s="169" t="b">
        <v>0</v>
      </c>
      <c r="AU79" s="169"/>
      <c r="AV79" s="169"/>
      <c r="AW79" s="169"/>
      <c r="AX79" s="183"/>
    </row>
    <row r="80">
      <c r="A80" s="388">
        <v>79.0</v>
      </c>
      <c r="B80" s="184"/>
      <c r="C80" s="185"/>
      <c r="D80" s="404"/>
      <c r="E80" s="404"/>
      <c r="F80" s="188"/>
      <c r="G80" s="397" t="str">
        <f t="shared" si="1"/>
        <v/>
      </c>
      <c r="H80" s="190"/>
      <c r="I80" s="402"/>
      <c r="J80" s="187"/>
      <c r="K80" s="145" t="str">
        <f>IFERROR(__xludf.DUMMYFUNCTION("IF(ISBLANK(C80), """", GOOGLEFINANCE(""NSE:"" &amp; C80,""price""))"),"")</f>
        <v/>
      </c>
      <c r="L80" s="213"/>
      <c r="M80" s="193"/>
      <c r="N80" s="194"/>
      <c r="O80" s="195"/>
      <c r="P80" s="196"/>
      <c r="Q80" s="376"/>
      <c r="R80" s="198"/>
      <c r="S80" s="196"/>
      <c r="T80" s="376"/>
      <c r="U80" s="199" t="str">
        <f t="shared" si="23"/>
        <v/>
      </c>
      <c r="V80" s="200" t="str">
        <f>IFS(AND(B80&gt;=DATE(2025,1,1), B80&lt;=DATE(2025,1,31)), U80/DDashboard!$C$2, AND(B80&gt;=DATE(2025,2,1), B80&lt;=DATE(2025,2,28)), U80/DDashboard!$C$3, AND(B80&gt;=DATE(2025,3,1), B80&lt;=DATE(2025,3,31)), U80/DDashboard!$C$4, AND(B80&gt;=DATE(2025,4,1), B80&lt;=DATE(2025,4,30)), U80/DDashboard!$C$5,AND(B80&gt;=DATE(2025,5,1), B80&lt;=DATE(2025,5,31)), U80/DDashboard!$C$6,AND(B80&gt;=DATE(2025,6,1), B80&lt;=DATE(2025,6,30)), U80/DDashboard!$C$7,AND(B80&gt;=DATE(2025,7,1), B80&lt;=DATE(2025,7,31)), U80/DDashboard!$C$8,AND(B80&gt;=DATE(2025,8,1), B80&lt;=DATE(2025,8,31)), U80/DDashboard!$C$9,AND(B80&gt;=DATE(2025,9,1), B80&lt;=DATE(2025,9,30)), U80/DDashboard!$C$10,AND(B80&gt;=DATE(2025,10,1), B80&lt;=DATE(2025,10,31)), U80/DDashboard!$C$11,AND(B80&gt;=DATE(2025,11,1), B80&lt;=DATE(2025,11,30)), U80/DDashboard!$C$12, AND(B80&gt;=DATE(2025,12,1), B80&lt;=DATE(2025,12,31)), U80/DDashboard!$C$13, True, "")
</f>
        <v/>
      </c>
      <c r="W80" s="201" t="str">
        <f t="shared" si="3"/>
        <v/>
      </c>
      <c r="X80" s="202"/>
      <c r="Y80" s="203"/>
      <c r="Z80" s="391"/>
      <c r="AA80" s="198"/>
      <c r="AB80" s="222"/>
      <c r="AC80" s="223"/>
      <c r="AD80" s="195"/>
      <c r="AE80" s="222"/>
      <c r="AF80" s="223"/>
      <c r="AG80" s="206" t="str">
        <f t="shared" si="4"/>
        <v/>
      </c>
      <c r="AH80" s="385" t="str">
        <f t="shared" si="5"/>
        <v/>
      </c>
      <c r="AI80" s="207" t="str">
        <f t="shared" si="24"/>
        <v/>
      </c>
      <c r="AJ80" s="367" t="str">
        <f t="shared" si="7"/>
        <v/>
      </c>
      <c r="AK80" s="208" t="str">
        <f t="shared" si="25"/>
        <v/>
      </c>
      <c r="AL80" s="207" t="str">
        <f t="shared" si="22"/>
        <v/>
      </c>
      <c r="AM80" s="209" t="str">
        <f>IF(AN80="", "", IF(AN80="Closed", 
    IF(ISNUMBER(AF80), AF80-B80,
        IF(ISNUMBER(AC80), AC80-B80,
            IF(ISNUMBER(Z80), Z80-B80, "")
        )
    ), 
    TODAY()-B80))</f>
        <v/>
      </c>
      <c r="AN80" s="386" t="str">
        <f t="shared" si="11"/>
        <v/>
      </c>
      <c r="AO80" s="366" t="str">
        <f t="shared" si="12"/>
        <v/>
      </c>
      <c r="AP80" s="210" t="str">
        <f t="shared" si="13"/>
        <v/>
      </c>
      <c r="AQ80" s="196" t="str">
        <f t="shared" si="26"/>
        <v/>
      </c>
      <c r="AR80" s="168" t="str">
        <f>IFS(AND(B80&gt;=DATE(2025,1,1), B80&lt;=DATE(2025,1,31)), AQ80/DDashboard!$C$2, AND(B80&gt;=DATE(2025,2,1), B80&lt;=DATE(2025,2,28)), AQ80/DDashboard!$C$3, AND(B80&gt;=DATE(2025,3,1), B80&lt;=DATE(2025,3,31)), AQ80/DDashboard!$C$4, AND(B80&gt;=DATE(2025,4,1), B80&lt;=DATE(2025,4,30)), AQ80/DDashboard!$C$5,AND(B80&gt;=DATE(2025,5,1), B80&lt;=DATE(2025,5,31)), AQ80/DDashboard!$C$6,AND(B80&gt;=DATE(2025,6,1), B80&lt;=DATE(2025,6,30)), AQ80/DDashboard!$C$7,AND(B80&gt;=DATE(2025,7,1), B80&lt;=DATE(2025,7,31)), AQ80/DDashboard!$C$8,AND(B80&gt;=DATE(2025,8,1), B80&lt;=DATE(2025,8,31)), AQ80/DDashboard!$C$9,AND(B80&gt;=DATE(2025,9,1), B80&lt;=DATE(2025,9,30)), AQ80/DDashboard!$C$10,AND(B80&gt;=DATE(2025,10,1), B80&lt;=DATE(2025,10,31)), AQ80/DDashboard!$C$11,AND(B80&gt;=DATE(2025,11,1), B80&lt;=DATE(2025,11,30)), AQ80/DDashboard!$C$12, AND(B80&gt;=DATE(2025,12,1), B80&lt;=DATE(2025,12,31)), AQ80/DDashboard!$C$13, True, "")
</f>
        <v/>
      </c>
      <c r="AS80" s="200" t="str">
        <f t="array" ref="AS80">IF(ISBLANK(C80), "", SUM($AR$9:AR80)
)</f>
        <v/>
      </c>
      <c r="AT80" s="169" t="b">
        <v>0</v>
      </c>
      <c r="AU80" s="169"/>
      <c r="AV80" s="169"/>
      <c r="AW80" s="169"/>
      <c r="AX80" s="32"/>
    </row>
    <row r="81">
      <c r="A81" s="389">
        <v>80.0</v>
      </c>
      <c r="B81" s="138"/>
      <c r="C81" s="139"/>
      <c r="D81" s="403"/>
      <c r="E81" s="403"/>
      <c r="F81" s="142"/>
      <c r="G81" s="398" t="str">
        <f t="shared" si="1"/>
        <v/>
      </c>
      <c r="H81" s="144"/>
      <c r="I81" s="399"/>
      <c r="J81" s="141"/>
      <c r="K81" s="145" t="str">
        <f>IFERROR(__xludf.DUMMYFUNCTION("IF(ISBLANK(C81), """", GOOGLEFINANCE(""NSE:"" &amp; C81,""price""))"),"")</f>
        <v/>
      </c>
      <c r="L81" s="146"/>
      <c r="M81" s="147"/>
      <c r="N81" s="148"/>
      <c r="O81" s="149"/>
      <c r="P81" s="150"/>
      <c r="Q81" s="377"/>
      <c r="R81" s="152"/>
      <c r="S81" s="150"/>
      <c r="T81" s="377"/>
      <c r="U81" s="153" t="str">
        <f t="shared" si="23"/>
        <v/>
      </c>
      <c r="V81" s="154" t="str">
        <f>IFS(AND(B81&gt;=DATE(2025,1,1), B81&lt;=DATE(2025,1,31)), U81/DDashboard!$C$2, AND(B81&gt;=DATE(2025,2,1), B81&lt;=DATE(2025,2,28)), U81/DDashboard!$C$3, AND(B81&gt;=DATE(2025,3,1), B81&lt;=DATE(2025,3,31)), U81/DDashboard!$C$4, AND(B81&gt;=DATE(2025,4,1), B81&lt;=DATE(2025,4,30)), U81/DDashboard!$C$5,AND(B81&gt;=DATE(2025,5,1), B81&lt;=DATE(2025,5,31)), U81/DDashboard!$C$6,AND(B81&gt;=DATE(2025,6,1), B81&lt;=DATE(2025,6,30)), U81/DDashboard!$C$7,AND(B81&gt;=DATE(2025,7,1), B81&lt;=DATE(2025,7,31)), U81/DDashboard!$C$8,AND(B81&gt;=DATE(2025,8,1), B81&lt;=DATE(2025,8,31)), U81/DDashboard!$C$9,AND(B81&gt;=DATE(2025,9,1), B81&lt;=DATE(2025,9,30)), U81/DDashboard!$C$10,AND(B81&gt;=DATE(2025,10,1), B81&lt;=DATE(2025,10,31)), U81/DDashboard!$C$11,AND(B81&gt;=DATE(2025,11,1), B81&lt;=DATE(2025,11,30)), U81/DDashboard!$C$12, AND(B81&gt;=DATE(2025,12,1), B81&lt;=DATE(2025,12,31)), U81/DDashboard!$C$13, True, "")
</f>
        <v/>
      </c>
      <c r="W81" s="65" t="str">
        <f t="shared" si="3"/>
        <v/>
      </c>
      <c r="X81" s="155"/>
      <c r="Y81" s="156"/>
      <c r="Z81" s="392"/>
      <c r="AA81" s="390"/>
      <c r="AB81" s="359"/>
      <c r="AC81" s="360"/>
      <c r="AD81" s="358"/>
      <c r="AE81" s="359"/>
      <c r="AF81" s="360"/>
      <c r="AG81" s="160" t="str">
        <f t="shared" si="4"/>
        <v/>
      </c>
      <c r="AH81" s="393" t="str">
        <f t="shared" si="5"/>
        <v/>
      </c>
      <c r="AI81" s="161" t="str">
        <f t="shared" si="24"/>
        <v/>
      </c>
      <c r="AJ81" s="365" t="str">
        <f t="shared" si="7"/>
        <v/>
      </c>
      <c r="AK81" s="162" t="str">
        <f t="shared" si="25"/>
        <v/>
      </c>
      <c r="AL81" s="161" t="str">
        <f t="shared" si="22"/>
        <v/>
      </c>
      <c r="AM81" s="163" t="str">
        <f>IF(AN81="", "", IF(AN81="Closed", IF(ISNUMBER(AF81), AF81-B81,IF(ISNUMBER(AC81), AC81-B81,IF(ISNUMBER(Z81), Z81-B81, ""))), TODAY()-B81))
</f>
        <v/>
      </c>
      <c r="AN81" s="381" t="str">
        <f t="shared" si="11"/>
        <v/>
      </c>
      <c r="AO81" s="366" t="str">
        <f t="shared" si="12"/>
        <v/>
      </c>
      <c r="AP81" s="166" t="str">
        <f t="shared" si="13"/>
        <v/>
      </c>
      <c r="AQ81" s="167" t="str">
        <f t="shared" si="26"/>
        <v/>
      </c>
      <c r="AR81" s="168" t="str">
        <f>IFS(AND(B81&gt;=DATE(2025,1,1), B81&lt;=DATE(2025,1,31)), AQ81/DDashboard!$C$2, AND(B81&gt;=DATE(2025,2,1), B81&lt;=DATE(2025,2,28)), AQ81/DDashboard!$C$3, AND(B81&gt;=DATE(2025,3,1), B81&lt;=DATE(2025,3,31)), AQ81/DDashboard!$C$4, AND(B81&gt;=DATE(2025,4,1), B81&lt;=DATE(2025,4,30)), AQ81/DDashboard!$C$5,AND(B81&gt;=DATE(2025,5,1), B81&lt;=DATE(2025,5,31)), AQ81/DDashboard!$C$6,AND(B81&gt;=DATE(2025,6,1), B81&lt;=DATE(2025,6,30)), AQ81/DDashboard!$C$7,AND(B81&gt;=DATE(2025,7,1), B81&lt;=DATE(2025,7,31)), AQ81/DDashboard!$C$8,AND(B81&gt;=DATE(2025,8,1), B81&lt;=DATE(2025,8,31)), AQ81/DDashboard!$C$9,AND(B81&gt;=DATE(2025,9,1), B81&lt;=DATE(2025,9,30)), AQ81/DDashboard!$C$10,AND(B81&gt;=DATE(2025,10,1), B81&lt;=DATE(2025,10,31)), AQ81/DDashboard!$C$11,AND(B81&gt;=DATE(2025,11,1), B81&lt;=DATE(2025,11,30)), AQ81/DDashboard!$C$12, AND(B81&gt;=DATE(2025,12,1), B81&lt;=DATE(2025,12,31)), AQ81/DDashboard!$C$13, True, "")
</f>
        <v/>
      </c>
      <c r="AS81" s="200" t="str">
        <f t="array" ref="AS81">IF(ISBLANK(C81), "", SUM($AR$9:AR81)
)</f>
        <v/>
      </c>
      <c r="AT81" s="169" t="b">
        <v>0</v>
      </c>
      <c r="AU81" s="169"/>
      <c r="AV81" s="169"/>
      <c r="AW81" s="169"/>
      <c r="AX81" s="183"/>
    </row>
    <row r="82">
      <c r="A82" s="388">
        <v>81.0</v>
      </c>
      <c r="B82" s="184"/>
      <c r="C82" s="185"/>
      <c r="D82" s="404"/>
      <c r="E82" s="404"/>
      <c r="F82" s="188"/>
      <c r="G82" s="397" t="str">
        <f t="shared" si="1"/>
        <v/>
      </c>
      <c r="H82" s="190"/>
      <c r="I82" s="402"/>
      <c r="J82" s="187"/>
      <c r="K82" s="145" t="str">
        <f>IFERROR(__xludf.DUMMYFUNCTION("IF(ISBLANK(C82), """", GOOGLEFINANCE(""NSE:"" &amp; C82,""price""))"),"")</f>
        <v/>
      </c>
      <c r="L82" s="213"/>
      <c r="M82" s="193"/>
      <c r="N82" s="194"/>
      <c r="O82" s="195"/>
      <c r="P82" s="196"/>
      <c r="Q82" s="376"/>
      <c r="R82" s="198"/>
      <c r="S82" s="196"/>
      <c r="T82" s="376"/>
      <c r="U82" s="199" t="str">
        <f t="shared" si="23"/>
        <v/>
      </c>
      <c r="V82" s="200" t="str">
        <f>IFS(AND(B82&gt;=DATE(2025,1,1), B82&lt;=DATE(2025,1,31)), U82/DDashboard!$C$2, AND(B82&gt;=DATE(2025,2,1), B82&lt;=DATE(2025,2,28)), U82/DDashboard!$C$3, AND(B82&gt;=DATE(2025,3,1), B82&lt;=DATE(2025,3,31)), U82/DDashboard!$C$4, AND(B82&gt;=DATE(2025,4,1), B82&lt;=DATE(2025,4,30)), U82/DDashboard!$C$5,AND(B82&gt;=DATE(2025,5,1), B82&lt;=DATE(2025,5,31)), U82/DDashboard!$C$6,AND(B82&gt;=DATE(2025,6,1), B82&lt;=DATE(2025,6,30)), U82/DDashboard!$C$7,AND(B82&gt;=DATE(2025,7,1), B82&lt;=DATE(2025,7,31)), U82/DDashboard!$C$8,AND(B82&gt;=DATE(2025,8,1), B82&lt;=DATE(2025,8,31)), U82/DDashboard!$C$9,AND(B82&gt;=DATE(2025,9,1), B82&lt;=DATE(2025,9,30)), U82/DDashboard!$C$10,AND(B82&gt;=DATE(2025,10,1), B82&lt;=DATE(2025,10,31)), U82/DDashboard!$C$11,AND(B82&gt;=DATE(2025,11,1), B82&lt;=DATE(2025,11,30)), U82/DDashboard!$C$12, AND(B82&gt;=DATE(2025,12,1), B82&lt;=DATE(2025,12,31)), U82/DDashboard!$C$13, True, "")
</f>
        <v/>
      </c>
      <c r="W82" s="201" t="str">
        <f t="shared" si="3"/>
        <v/>
      </c>
      <c r="X82" s="202"/>
      <c r="Y82" s="203"/>
      <c r="Z82" s="391"/>
      <c r="AA82" s="198"/>
      <c r="AB82" s="222"/>
      <c r="AC82" s="223"/>
      <c r="AD82" s="195"/>
      <c r="AE82" s="222"/>
      <c r="AF82" s="223"/>
      <c r="AG82" s="206" t="str">
        <f t="shared" si="4"/>
        <v/>
      </c>
      <c r="AH82" s="385" t="str">
        <f t="shared" si="5"/>
        <v/>
      </c>
      <c r="AI82" s="207" t="str">
        <f t="shared" si="24"/>
        <v/>
      </c>
      <c r="AJ82" s="367" t="str">
        <f t="shared" si="7"/>
        <v/>
      </c>
      <c r="AK82" s="208" t="str">
        <f t="shared" si="25"/>
        <v/>
      </c>
      <c r="AL82" s="207" t="str">
        <f t="shared" si="22"/>
        <v/>
      </c>
      <c r="AM82" s="209" t="str">
        <f>IF(AN82="", "", IF(AN82="Closed", 
    IF(ISNUMBER(AF82), AF82-B82,
        IF(ISNUMBER(AC82), AC82-B82,
            IF(ISNUMBER(Z82), Z82-B82, "")
        )
    ), 
    TODAY()-B82))</f>
        <v/>
      </c>
      <c r="AN82" s="386" t="str">
        <f t="shared" si="11"/>
        <v/>
      </c>
      <c r="AO82" s="366" t="str">
        <f t="shared" si="12"/>
        <v/>
      </c>
      <c r="AP82" s="210" t="str">
        <f t="shared" si="13"/>
        <v/>
      </c>
      <c r="AQ82" s="196" t="str">
        <f t="shared" si="26"/>
        <v/>
      </c>
      <c r="AR82" s="168" t="str">
        <f>IFS(AND(B82&gt;=DATE(2025,1,1), B82&lt;=DATE(2025,1,31)), AQ82/DDashboard!$C$2, AND(B82&gt;=DATE(2025,2,1), B82&lt;=DATE(2025,2,28)), AQ82/DDashboard!$C$3, AND(B82&gt;=DATE(2025,3,1), B82&lt;=DATE(2025,3,31)), AQ82/DDashboard!$C$4, AND(B82&gt;=DATE(2025,4,1), B82&lt;=DATE(2025,4,30)), AQ82/DDashboard!$C$5,AND(B82&gt;=DATE(2025,5,1), B82&lt;=DATE(2025,5,31)), AQ82/DDashboard!$C$6,AND(B82&gt;=DATE(2025,6,1), B82&lt;=DATE(2025,6,30)), AQ82/DDashboard!$C$7,AND(B82&gt;=DATE(2025,7,1), B82&lt;=DATE(2025,7,31)), AQ82/DDashboard!$C$8,AND(B82&gt;=DATE(2025,8,1), B82&lt;=DATE(2025,8,31)), AQ82/DDashboard!$C$9,AND(B82&gt;=DATE(2025,9,1), B82&lt;=DATE(2025,9,30)), AQ82/DDashboard!$C$10,AND(B82&gt;=DATE(2025,10,1), B82&lt;=DATE(2025,10,31)), AQ82/DDashboard!$C$11,AND(B82&gt;=DATE(2025,11,1), B82&lt;=DATE(2025,11,30)), AQ82/DDashboard!$C$12, AND(B82&gt;=DATE(2025,12,1), B82&lt;=DATE(2025,12,31)), AQ82/DDashboard!$C$13, True, "")
</f>
        <v/>
      </c>
      <c r="AS82" s="200" t="str">
        <f t="array" ref="AS82">IF(ISBLANK(C82), "", SUM($AR$9:AR82)
)</f>
        <v/>
      </c>
      <c r="AT82" s="169" t="b">
        <v>0</v>
      </c>
      <c r="AU82" s="169"/>
      <c r="AV82" s="169"/>
      <c r="AW82" s="169"/>
      <c r="AX82" s="387"/>
    </row>
    <row r="83">
      <c r="A83" s="389">
        <v>82.0</v>
      </c>
      <c r="B83" s="138"/>
      <c r="C83" s="139"/>
      <c r="D83" s="401"/>
      <c r="E83" s="141"/>
      <c r="F83" s="142"/>
      <c r="G83" s="398" t="str">
        <f t="shared" si="1"/>
        <v/>
      </c>
      <c r="H83" s="399"/>
      <c r="I83" s="399"/>
      <c r="J83" s="141"/>
      <c r="K83" s="145" t="str">
        <f>IFERROR(__xludf.DUMMYFUNCTION("IF(ISBLANK(C83), """", GOOGLEFINANCE(""NSE:"" &amp; C83,""price""))"),"")</f>
        <v/>
      </c>
      <c r="L83" s="146"/>
      <c r="M83" s="147"/>
      <c r="N83" s="148"/>
      <c r="O83" s="149"/>
      <c r="P83" s="150"/>
      <c r="Q83" s="377"/>
      <c r="R83" s="152"/>
      <c r="S83" s="150"/>
      <c r="T83" s="377"/>
      <c r="U83" s="153" t="str">
        <f t="shared" si="23"/>
        <v/>
      </c>
      <c r="V83" s="154" t="str">
        <f>IFS(AND(B83&gt;=DATE(2025,1,1), B83&lt;=DATE(2025,1,31)), U83/DDashboard!$C$2, AND(B83&gt;=DATE(2025,2,1), B83&lt;=DATE(2025,2,28)), U83/DDashboard!$C$3, AND(B83&gt;=DATE(2025,3,1), B83&lt;=DATE(2025,3,31)), U83/DDashboard!$C$4, AND(B83&gt;=DATE(2025,4,1), B83&lt;=DATE(2025,4,30)), U83/DDashboard!$C$5,AND(B83&gt;=DATE(2025,5,1), B83&lt;=DATE(2025,5,31)), U83/DDashboard!$C$6,AND(B83&gt;=DATE(2025,6,1), B83&lt;=DATE(2025,6,30)), U83/DDashboard!$C$7,AND(B83&gt;=DATE(2025,7,1), B83&lt;=DATE(2025,7,31)), U83/DDashboard!$C$8,AND(B83&gt;=DATE(2025,8,1), B83&lt;=DATE(2025,8,31)), U83/DDashboard!$C$9,AND(B83&gt;=DATE(2025,9,1), B83&lt;=DATE(2025,9,30)), U83/DDashboard!$C$10,AND(B83&gt;=DATE(2025,10,1), B83&lt;=DATE(2025,10,31)), U83/DDashboard!$C$11,AND(B83&gt;=DATE(2025,11,1), B83&lt;=DATE(2025,11,30)), U83/DDashboard!$C$12, AND(B83&gt;=DATE(2025,12,1), B83&lt;=DATE(2025,12,31)), U83/DDashboard!$C$13, True, "")
</f>
        <v/>
      </c>
      <c r="W83" s="65" t="str">
        <f t="shared" si="3"/>
        <v/>
      </c>
      <c r="X83" s="155"/>
      <c r="Y83" s="156"/>
      <c r="Z83" s="392"/>
      <c r="AA83" s="390"/>
      <c r="AB83" s="359"/>
      <c r="AC83" s="360"/>
      <c r="AD83" s="358"/>
      <c r="AE83" s="359"/>
      <c r="AF83" s="360"/>
      <c r="AG83" s="160" t="str">
        <f t="shared" si="4"/>
        <v/>
      </c>
      <c r="AH83" s="393" t="str">
        <f t="shared" si="5"/>
        <v/>
      </c>
      <c r="AI83" s="161" t="str">
        <f t="shared" si="24"/>
        <v/>
      </c>
      <c r="AJ83" s="365" t="str">
        <f t="shared" si="7"/>
        <v/>
      </c>
      <c r="AK83" s="162" t="str">
        <f t="shared" si="25"/>
        <v/>
      </c>
      <c r="AL83" s="161" t="str">
        <f t="shared" si="22"/>
        <v/>
      </c>
      <c r="AM83" s="163" t="str">
        <f>IF(AN83="", "", IF(AN83="Closed", IF(ISNUMBER(AF83), AF83-B83,IF(ISNUMBER(AC83), AC83-B83,IF(ISNUMBER(Z83), Z83-B83, ""))), TODAY()-B83))
</f>
        <v/>
      </c>
      <c r="AN83" s="381" t="str">
        <f t="shared" si="11"/>
        <v/>
      </c>
      <c r="AO83" s="366" t="str">
        <f t="shared" si="12"/>
        <v/>
      </c>
      <c r="AP83" s="166" t="str">
        <f t="shared" si="13"/>
        <v/>
      </c>
      <c r="AQ83" s="167" t="str">
        <f t="shared" si="26"/>
        <v/>
      </c>
      <c r="AR83" s="168" t="str">
        <f>IFS(AND(B83&gt;=DATE(2025,1,1), B83&lt;=DATE(2025,1,31)), AQ83/DDashboard!$C$2, AND(B83&gt;=DATE(2025,2,1), B83&lt;=DATE(2025,2,28)), AQ83/DDashboard!$C$3, AND(B83&gt;=DATE(2025,3,1), B83&lt;=DATE(2025,3,31)), AQ83/DDashboard!$C$4, AND(B83&gt;=DATE(2025,4,1), B83&lt;=DATE(2025,4,30)), AQ83/DDashboard!$C$5,AND(B83&gt;=DATE(2025,5,1), B83&lt;=DATE(2025,5,31)), AQ83/DDashboard!$C$6,AND(B83&gt;=DATE(2025,6,1), B83&lt;=DATE(2025,6,30)), AQ83/DDashboard!$C$7,AND(B83&gt;=DATE(2025,7,1), B83&lt;=DATE(2025,7,31)), AQ83/DDashboard!$C$8,AND(B83&gt;=DATE(2025,8,1), B83&lt;=DATE(2025,8,31)), AQ83/DDashboard!$C$9,AND(B83&gt;=DATE(2025,9,1), B83&lt;=DATE(2025,9,30)), AQ83/DDashboard!$C$10,AND(B83&gt;=DATE(2025,10,1), B83&lt;=DATE(2025,10,31)), AQ83/DDashboard!$C$11,AND(B83&gt;=DATE(2025,11,1), B83&lt;=DATE(2025,11,30)), AQ83/DDashboard!$C$12, AND(B83&gt;=DATE(2025,12,1), B83&lt;=DATE(2025,12,31)), AQ83/DDashboard!$C$13, True, "")
</f>
        <v/>
      </c>
      <c r="AS83" s="200" t="str">
        <f t="array" ref="AS83">IF(ISBLANK(C83), "", SUM($AR$9:AR83)
)</f>
        <v/>
      </c>
      <c r="AT83" s="169" t="b">
        <v>0</v>
      </c>
      <c r="AU83" s="169"/>
      <c r="AV83" s="169"/>
      <c r="AW83" s="169"/>
      <c r="AX83" s="383"/>
    </row>
    <row r="84">
      <c r="A84" s="388">
        <v>83.0</v>
      </c>
      <c r="B84" s="184"/>
      <c r="C84" s="185"/>
      <c r="D84" s="400"/>
      <c r="E84" s="187"/>
      <c r="F84" s="188"/>
      <c r="G84" s="397" t="str">
        <f t="shared" si="1"/>
        <v/>
      </c>
      <c r="H84" s="402"/>
      <c r="I84" s="402"/>
      <c r="J84" s="187"/>
      <c r="K84" s="145" t="str">
        <f>IFERROR(__xludf.DUMMYFUNCTION("IF(ISBLANK(C84), """", GOOGLEFINANCE(""NSE:"" &amp; C84,""price""))"),"")</f>
        <v/>
      </c>
      <c r="L84" s="213"/>
      <c r="M84" s="193"/>
      <c r="N84" s="194"/>
      <c r="O84" s="195"/>
      <c r="P84" s="196"/>
      <c r="Q84" s="376"/>
      <c r="R84" s="198"/>
      <c r="S84" s="196"/>
      <c r="T84" s="376"/>
      <c r="U84" s="199" t="str">
        <f t="shared" si="23"/>
        <v/>
      </c>
      <c r="V84" s="200" t="str">
        <f>IFS(AND(B84&gt;=DATE(2025,1,1), B84&lt;=DATE(2025,1,31)), U84/DDashboard!$C$2, AND(B84&gt;=DATE(2025,2,1), B84&lt;=DATE(2025,2,28)), U84/DDashboard!$C$3, AND(B84&gt;=DATE(2025,3,1), B84&lt;=DATE(2025,3,31)), U84/DDashboard!$C$4, AND(B84&gt;=DATE(2025,4,1), B84&lt;=DATE(2025,4,30)), U84/DDashboard!$C$5,AND(B84&gt;=DATE(2025,5,1), B84&lt;=DATE(2025,5,31)), U84/DDashboard!$C$6,AND(B84&gt;=DATE(2025,6,1), B84&lt;=DATE(2025,6,30)), U84/DDashboard!$C$7,AND(B84&gt;=DATE(2025,7,1), B84&lt;=DATE(2025,7,31)), U84/DDashboard!$C$8,AND(B84&gt;=DATE(2025,8,1), B84&lt;=DATE(2025,8,31)), U84/DDashboard!$C$9,AND(B84&gt;=DATE(2025,9,1), B84&lt;=DATE(2025,9,30)), U84/DDashboard!$C$10,AND(B84&gt;=DATE(2025,10,1), B84&lt;=DATE(2025,10,31)), U84/DDashboard!$C$11,AND(B84&gt;=DATE(2025,11,1), B84&lt;=DATE(2025,11,30)), U84/DDashboard!$C$12, AND(B84&gt;=DATE(2025,12,1), B84&lt;=DATE(2025,12,31)), U84/DDashboard!$C$13, True, "")
</f>
        <v/>
      </c>
      <c r="W84" s="201" t="str">
        <f t="shared" si="3"/>
        <v/>
      </c>
      <c r="X84" s="202"/>
      <c r="Y84" s="203"/>
      <c r="Z84" s="391"/>
      <c r="AA84" s="198"/>
      <c r="AB84" s="222"/>
      <c r="AC84" s="223"/>
      <c r="AD84" s="195"/>
      <c r="AE84" s="222"/>
      <c r="AF84" s="223"/>
      <c r="AG84" s="206" t="str">
        <f t="shared" si="4"/>
        <v/>
      </c>
      <c r="AH84" s="385" t="str">
        <f t="shared" si="5"/>
        <v/>
      </c>
      <c r="AI84" s="207" t="str">
        <f t="shared" si="24"/>
        <v/>
      </c>
      <c r="AJ84" s="367" t="str">
        <f t="shared" si="7"/>
        <v/>
      </c>
      <c r="AK84" s="208" t="str">
        <f t="shared" si="25"/>
        <v/>
      </c>
      <c r="AL84" s="207" t="str">
        <f t="shared" si="22"/>
        <v/>
      </c>
      <c r="AM84" s="209" t="str">
        <f>IF(AN84="", "", IF(AN84="Closed", 
    IF(ISNUMBER(AF84), AF84-B84,
        IF(ISNUMBER(AC84), AC84-B84,
            IF(ISNUMBER(Z84), Z84-B84, "")
        )
    ), 
    TODAY()-B84))</f>
        <v/>
      </c>
      <c r="AN84" s="386" t="str">
        <f t="shared" si="11"/>
        <v/>
      </c>
      <c r="AO84" s="366" t="str">
        <f t="shared" si="12"/>
        <v/>
      </c>
      <c r="AP84" s="210" t="str">
        <f t="shared" si="13"/>
        <v/>
      </c>
      <c r="AQ84" s="196" t="str">
        <f t="shared" si="26"/>
        <v/>
      </c>
      <c r="AR84" s="168" t="str">
        <f>IFS(AND(B84&gt;=DATE(2025,1,1), B84&lt;=DATE(2025,1,31)), AQ84/DDashboard!$C$2, AND(B84&gt;=DATE(2025,2,1), B84&lt;=DATE(2025,2,28)), AQ84/DDashboard!$C$3, AND(B84&gt;=DATE(2025,3,1), B84&lt;=DATE(2025,3,31)), AQ84/DDashboard!$C$4, AND(B84&gt;=DATE(2025,4,1), B84&lt;=DATE(2025,4,30)), AQ84/DDashboard!$C$5,AND(B84&gt;=DATE(2025,5,1), B84&lt;=DATE(2025,5,31)), AQ84/DDashboard!$C$6,AND(B84&gt;=DATE(2025,6,1), B84&lt;=DATE(2025,6,30)), AQ84/DDashboard!$C$7,AND(B84&gt;=DATE(2025,7,1), B84&lt;=DATE(2025,7,31)), AQ84/DDashboard!$C$8,AND(B84&gt;=DATE(2025,8,1), B84&lt;=DATE(2025,8,31)), AQ84/DDashboard!$C$9,AND(B84&gt;=DATE(2025,9,1), B84&lt;=DATE(2025,9,30)), AQ84/DDashboard!$C$10,AND(B84&gt;=DATE(2025,10,1), B84&lt;=DATE(2025,10,31)), AQ84/DDashboard!$C$11,AND(B84&gt;=DATE(2025,11,1), B84&lt;=DATE(2025,11,30)), AQ84/DDashboard!$C$12, AND(B84&gt;=DATE(2025,12,1), B84&lt;=DATE(2025,12,31)), AQ84/DDashboard!$C$13, True, "")
</f>
        <v/>
      </c>
      <c r="AS84" s="200" t="str">
        <f t="array" ref="AS84">IF(ISBLANK(C84), "", SUM($AR$9:AR84)
)</f>
        <v/>
      </c>
      <c r="AT84" s="169" t="b">
        <v>0</v>
      </c>
      <c r="AU84" s="169"/>
      <c r="AV84" s="169"/>
      <c r="AW84" s="169"/>
      <c r="AX84" s="387"/>
    </row>
    <row r="85">
      <c r="A85" s="389">
        <v>84.0</v>
      </c>
      <c r="B85" s="138"/>
      <c r="C85" s="139"/>
      <c r="D85" s="403"/>
      <c r="E85" s="403"/>
      <c r="F85" s="405"/>
      <c r="G85" s="398" t="str">
        <f t="shared" si="1"/>
        <v/>
      </c>
      <c r="H85" s="144"/>
      <c r="I85" s="399"/>
      <c r="J85" s="141"/>
      <c r="K85" s="145" t="str">
        <f>IFERROR(__xludf.DUMMYFUNCTION("IF(ISBLANK(C85), """", GOOGLEFINANCE(""NSE:"" &amp; C85,""price""))"),"")</f>
        <v/>
      </c>
      <c r="L85" s="146"/>
      <c r="M85" s="147"/>
      <c r="N85" s="148"/>
      <c r="O85" s="225"/>
      <c r="P85" s="226"/>
      <c r="Q85" s="368"/>
      <c r="R85" s="152"/>
      <c r="S85" s="150"/>
      <c r="T85" s="377"/>
      <c r="U85" s="153" t="str">
        <f t="shared" si="23"/>
        <v/>
      </c>
      <c r="V85" s="154" t="str">
        <f>IFS(AND(B85&gt;=DATE(2025,1,1), B85&lt;=DATE(2025,1,31)), U85/DDashboard!$C$2, AND(B85&gt;=DATE(2025,2,1), B85&lt;=DATE(2025,2,28)), U85/DDashboard!$C$3, AND(B85&gt;=DATE(2025,3,1), B85&lt;=DATE(2025,3,31)), U85/DDashboard!$C$4, AND(B85&gt;=DATE(2025,4,1), B85&lt;=DATE(2025,4,30)), U85/DDashboard!$C$5,AND(B85&gt;=DATE(2025,5,1), B85&lt;=DATE(2025,5,31)), U85/DDashboard!$C$6,AND(B85&gt;=DATE(2025,6,1), B85&lt;=DATE(2025,6,30)), U85/DDashboard!$C$7,AND(B85&gt;=DATE(2025,7,1), B85&lt;=DATE(2025,7,31)), U85/DDashboard!$C$8,AND(B85&gt;=DATE(2025,8,1), B85&lt;=DATE(2025,8,31)), U85/DDashboard!$C$9,AND(B85&gt;=DATE(2025,9,1), B85&lt;=DATE(2025,9,30)), U85/DDashboard!$C$10,AND(B85&gt;=DATE(2025,10,1), B85&lt;=DATE(2025,10,31)), U85/DDashboard!$C$11,AND(B85&gt;=DATE(2025,11,1), B85&lt;=DATE(2025,11,30)), U85/DDashboard!$C$12, AND(B85&gt;=DATE(2025,12,1), B85&lt;=DATE(2025,12,31)), U85/DDashboard!$C$13, True, "")
</f>
        <v/>
      </c>
      <c r="W85" s="65" t="str">
        <f t="shared" si="3"/>
        <v/>
      </c>
      <c r="X85" s="155"/>
      <c r="Y85" s="156"/>
      <c r="Z85" s="392"/>
      <c r="AA85" s="390"/>
      <c r="AB85" s="359"/>
      <c r="AC85" s="360"/>
      <c r="AD85" s="358"/>
      <c r="AE85" s="359"/>
      <c r="AF85" s="360"/>
      <c r="AG85" s="160" t="str">
        <f t="shared" si="4"/>
        <v/>
      </c>
      <c r="AH85" s="393" t="str">
        <f t="shared" si="5"/>
        <v/>
      </c>
      <c r="AI85" s="161" t="str">
        <f t="shared" si="24"/>
        <v/>
      </c>
      <c r="AJ85" s="365" t="str">
        <f t="shared" si="7"/>
        <v/>
      </c>
      <c r="AK85" s="162" t="str">
        <f t="shared" si="25"/>
        <v/>
      </c>
      <c r="AL85" s="161" t="str">
        <f t="shared" si="22"/>
        <v/>
      </c>
      <c r="AM85" s="163" t="str">
        <f>IF(AN85="", "", IF(AN85="Closed", IF(ISNUMBER(AF85), AF85-B85,IF(ISNUMBER(AC85), AC85-B85,IF(ISNUMBER(Z85), Z85-B85, ""))), TODAY()-B85))
</f>
        <v/>
      </c>
      <c r="AN85" s="381" t="str">
        <f t="shared" si="11"/>
        <v/>
      </c>
      <c r="AO85" s="366" t="str">
        <f t="shared" si="12"/>
        <v/>
      </c>
      <c r="AP85" s="166" t="str">
        <f t="shared" si="13"/>
        <v/>
      </c>
      <c r="AQ85" s="167" t="str">
        <f t="shared" si="26"/>
        <v/>
      </c>
      <c r="AR85" s="168" t="str">
        <f>IFS(AND(B85&gt;=DATE(2025,1,1), B85&lt;=DATE(2025,1,31)), AQ85/DDashboard!$C$2, AND(B85&gt;=DATE(2025,2,1), B85&lt;=DATE(2025,2,28)), AQ85/DDashboard!$C$3, AND(B85&gt;=DATE(2025,3,1), B85&lt;=DATE(2025,3,31)), AQ85/DDashboard!$C$4, AND(B85&gt;=DATE(2025,4,1), B85&lt;=DATE(2025,4,30)), AQ85/DDashboard!$C$5,AND(B85&gt;=DATE(2025,5,1), B85&lt;=DATE(2025,5,31)), AQ85/DDashboard!$C$6,AND(B85&gt;=DATE(2025,6,1), B85&lt;=DATE(2025,6,30)), AQ85/DDashboard!$C$7,AND(B85&gt;=DATE(2025,7,1), B85&lt;=DATE(2025,7,31)), AQ85/DDashboard!$C$8,AND(B85&gt;=DATE(2025,8,1), B85&lt;=DATE(2025,8,31)), AQ85/DDashboard!$C$9,AND(B85&gt;=DATE(2025,9,1), B85&lt;=DATE(2025,9,30)), AQ85/DDashboard!$C$10,AND(B85&gt;=DATE(2025,10,1), B85&lt;=DATE(2025,10,31)), AQ85/DDashboard!$C$11,AND(B85&gt;=DATE(2025,11,1), B85&lt;=DATE(2025,11,30)), AQ85/DDashboard!$C$12, AND(B85&gt;=DATE(2025,12,1), B85&lt;=DATE(2025,12,31)), AQ85/DDashboard!$C$13, True, "")
</f>
        <v/>
      </c>
      <c r="AS85" s="200" t="str">
        <f t="array" ref="AS85">IF(ISBLANK(C85), "", SUM($AR$9:AR85)
)</f>
        <v/>
      </c>
      <c r="AT85" s="169" t="b">
        <v>0</v>
      </c>
      <c r="AU85" s="169"/>
      <c r="AV85" s="169"/>
      <c r="AW85" s="169"/>
      <c r="AX85" s="183"/>
    </row>
    <row r="86">
      <c r="A86" s="388">
        <v>85.0</v>
      </c>
      <c r="B86" s="184"/>
      <c r="C86" s="185"/>
      <c r="D86" s="404"/>
      <c r="E86" s="404"/>
      <c r="F86" s="188"/>
      <c r="G86" s="397" t="str">
        <f t="shared" si="1"/>
        <v/>
      </c>
      <c r="H86" s="190"/>
      <c r="I86" s="402"/>
      <c r="J86" s="187"/>
      <c r="K86" s="145" t="str">
        <f>IFERROR(__xludf.DUMMYFUNCTION("IF(ISBLANK(C86), """", GOOGLEFINANCE(""NSE:"" &amp; C86,""price""))"),"")</f>
        <v/>
      </c>
      <c r="L86" s="213"/>
      <c r="M86" s="193"/>
      <c r="N86" s="194"/>
      <c r="O86" s="195"/>
      <c r="P86" s="196"/>
      <c r="Q86" s="376"/>
      <c r="R86" s="198"/>
      <c r="S86" s="196"/>
      <c r="T86" s="376"/>
      <c r="U86" s="199" t="str">
        <f t="shared" si="23"/>
        <v/>
      </c>
      <c r="V86" s="200" t="str">
        <f>IFS(AND(B86&gt;=DATE(2025,1,1), B86&lt;=DATE(2025,1,31)), U86/DDashboard!$C$2, AND(B86&gt;=DATE(2025,2,1), B86&lt;=DATE(2025,2,28)), U86/DDashboard!$C$3, AND(B86&gt;=DATE(2025,3,1), B86&lt;=DATE(2025,3,31)), U86/DDashboard!$C$4, AND(B86&gt;=DATE(2025,4,1), B86&lt;=DATE(2025,4,30)), U86/DDashboard!$C$5,AND(B86&gt;=DATE(2025,5,1), B86&lt;=DATE(2025,5,31)), U86/DDashboard!$C$6,AND(B86&gt;=DATE(2025,6,1), B86&lt;=DATE(2025,6,30)), U86/DDashboard!$C$7,AND(B86&gt;=DATE(2025,7,1), B86&lt;=DATE(2025,7,31)), U86/DDashboard!$C$8,AND(B86&gt;=DATE(2025,8,1), B86&lt;=DATE(2025,8,31)), U86/DDashboard!$C$9,AND(B86&gt;=DATE(2025,9,1), B86&lt;=DATE(2025,9,30)), U86/DDashboard!$C$10,AND(B86&gt;=DATE(2025,10,1), B86&lt;=DATE(2025,10,31)), U86/DDashboard!$C$11,AND(B86&gt;=DATE(2025,11,1), B86&lt;=DATE(2025,11,30)), U86/DDashboard!$C$12, AND(B86&gt;=DATE(2025,12,1), B86&lt;=DATE(2025,12,31)), U86/DDashboard!$C$13, True, "")
</f>
        <v/>
      </c>
      <c r="W86" s="201" t="str">
        <f t="shared" si="3"/>
        <v/>
      </c>
      <c r="X86" s="202"/>
      <c r="Y86" s="203"/>
      <c r="Z86" s="391"/>
      <c r="AA86" s="198"/>
      <c r="AB86" s="222"/>
      <c r="AC86" s="223"/>
      <c r="AD86" s="195"/>
      <c r="AE86" s="222"/>
      <c r="AF86" s="223"/>
      <c r="AG86" s="206" t="str">
        <f t="shared" si="4"/>
        <v/>
      </c>
      <c r="AH86" s="385" t="str">
        <f t="shared" si="5"/>
        <v/>
      </c>
      <c r="AI86" s="207" t="str">
        <f t="shared" si="24"/>
        <v/>
      </c>
      <c r="AJ86" s="367" t="str">
        <f t="shared" si="7"/>
        <v/>
      </c>
      <c r="AK86" s="208" t="str">
        <f t="shared" si="25"/>
        <v/>
      </c>
      <c r="AL86" s="207" t="str">
        <f t="shared" si="22"/>
        <v/>
      </c>
      <c r="AM86" s="209" t="str">
        <f>IF(AN86="", "", IF(AN86="Closed", 
    IF(ISNUMBER(AF86), AF86-B86,
        IF(ISNUMBER(AC86), AC86-B86,
            IF(ISNUMBER(Z86), Z86-B86, "")
        )
    ), 
    TODAY()-B86))</f>
        <v/>
      </c>
      <c r="AN86" s="386" t="str">
        <f t="shared" si="11"/>
        <v/>
      </c>
      <c r="AO86" s="366" t="str">
        <f t="shared" si="12"/>
        <v/>
      </c>
      <c r="AP86" s="210" t="str">
        <f t="shared" si="13"/>
        <v/>
      </c>
      <c r="AQ86" s="196" t="str">
        <f t="shared" si="26"/>
        <v/>
      </c>
      <c r="AR86" s="168" t="str">
        <f>IFS(AND(B86&gt;=DATE(2025,1,1), B86&lt;=DATE(2025,1,31)), AQ86/DDashboard!$C$2, AND(B86&gt;=DATE(2025,2,1), B86&lt;=DATE(2025,2,28)), AQ86/DDashboard!$C$3, AND(B86&gt;=DATE(2025,3,1), B86&lt;=DATE(2025,3,31)), AQ86/DDashboard!$C$4, AND(B86&gt;=DATE(2025,4,1), B86&lt;=DATE(2025,4,30)), AQ86/DDashboard!$C$5,AND(B86&gt;=DATE(2025,5,1), B86&lt;=DATE(2025,5,31)), AQ86/DDashboard!$C$6,AND(B86&gt;=DATE(2025,6,1), B86&lt;=DATE(2025,6,30)), AQ86/DDashboard!$C$7,AND(B86&gt;=DATE(2025,7,1), B86&lt;=DATE(2025,7,31)), AQ86/DDashboard!$C$8,AND(B86&gt;=DATE(2025,8,1), B86&lt;=DATE(2025,8,31)), AQ86/DDashboard!$C$9,AND(B86&gt;=DATE(2025,9,1), B86&lt;=DATE(2025,9,30)), AQ86/DDashboard!$C$10,AND(B86&gt;=DATE(2025,10,1), B86&lt;=DATE(2025,10,31)), AQ86/DDashboard!$C$11,AND(B86&gt;=DATE(2025,11,1), B86&lt;=DATE(2025,11,30)), AQ86/DDashboard!$C$12, AND(B86&gt;=DATE(2025,12,1), B86&lt;=DATE(2025,12,31)), AQ86/DDashboard!$C$13, True, "")
</f>
        <v/>
      </c>
      <c r="AS86" s="200" t="str">
        <f t="array" ref="AS86">IF(ISBLANK(C86), "", SUM($AR$9:AR86)
)</f>
        <v/>
      </c>
      <c r="AT86" s="169" t="b">
        <v>0</v>
      </c>
      <c r="AU86" s="169"/>
      <c r="AV86" s="169"/>
      <c r="AW86" s="169"/>
      <c r="AX86" s="32"/>
    </row>
    <row r="87">
      <c r="A87" s="389">
        <v>86.0</v>
      </c>
      <c r="B87" s="138"/>
      <c r="C87" s="139"/>
      <c r="D87" s="403"/>
      <c r="E87" s="403"/>
      <c r="F87" s="142"/>
      <c r="G87" s="398" t="str">
        <f t="shared" si="1"/>
        <v/>
      </c>
      <c r="H87" s="399"/>
      <c r="I87" s="399"/>
      <c r="J87" s="141"/>
      <c r="K87" s="145" t="str">
        <f>IFERROR(__xludf.DUMMYFUNCTION("IF(ISBLANK(C87), """", GOOGLEFINANCE(""NSE:"" &amp; C87,""price""))"),"")</f>
        <v/>
      </c>
      <c r="L87" s="146"/>
      <c r="M87" s="147"/>
      <c r="N87" s="148"/>
      <c r="O87" s="149"/>
      <c r="P87" s="150"/>
      <c r="Q87" s="377"/>
      <c r="R87" s="152"/>
      <c r="S87" s="150"/>
      <c r="T87" s="377"/>
      <c r="U87" s="153" t="str">
        <f t="shared" si="23"/>
        <v/>
      </c>
      <c r="V87" s="154" t="str">
        <f>IFS(AND(B87&gt;=DATE(2025,1,1), B87&lt;=DATE(2025,1,31)), U87/DDashboard!$C$2, AND(B87&gt;=DATE(2025,2,1), B87&lt;=DATE(2025,2,28)), U87/DDashboard!$C$3, AND(B87&gt;=DATE(2025,3,1), B87&lt;=DATE(2025,3,31)), U87/DDashboard!$C$4, AND(B87&gt;=DATE(2025,4,1), B87&lt;=DATE(2025,4,30)), U87/DDashboard!$C$5,AND(B87&gt;=DATE(2025,5,1), B87&lt;=DATE(2025,5,31)), U87/DDashboard!$C$6,AND(B87&gt;=DATE(2025,6,1), B87&lt;=DATE(2025,6,30)), U87/DDashboard!$C$7,AND(B87&gt;=DATE(2025,7,1), B87&lt;=DATE(2025,7,31)), U87/DDashboard!$C$8,AND(B87&gt;=DATE(2025,8,1), B87&lt;=DATE(2025,8,31)), U87/DDashboard!$C$9,AND(B87&gt;=DATE(2025,9,1), B87&lt;=DATE(2025,9,30)), U87/DDashboard!$C$10,AND(B87&gt;=DATE(2025,10,1), B87&lt;=DATE(2025,10,31)), U87/DDashboard!$C$11,AND(B87&gt;=DATE(2025,11,1), B87&lt;=DATE(2025,11,30)), U87/DDashboard!$C$12, AND(B87&gt;=DATE(2025,12,1), B87&lt;=DATE(2025,12,31)), U87/DDashboard!$C$13, True, "")
</f>
        <v/>
      </c>
      <c r="W87" s="65" t="str">
        <f t="shared" si="3"/>
        <v/>
      </c>
      <c r="X87" s="155"/>
      <c r="Y87" s="156"/>
      <c r="Z87" s="392"/>
      <c r="AA87" s="390"/>
      <c r="AB87" s="359"/>
      <c r="AC87" s="360"/>
      <c r="AD87" s="358"/>
      <c r="AE87" s="359"/>
      <c r="AF87" s="360"/>
      <c r="AG87" s="160" t="str">
        <f t="shared" si="4"/>
        <v/>
      </c>
      <c r="AH87" s="393" t="str">
        <f t="shared" si="5"/>
        <v/>
      </c>
      <c r="AI87" s="161" t="str">
        <f t="shared" si="24"/>
        <v/>
      </c>
      <c r="AJ87" s="365" t="str">
        <f t="shared" si="7"/>
        <v/>
      </c>
      <c r="AK87" s="162" t="str">
        <f t="shared" si="25"/>
        <v/>
      </c>
      <c r="AL87" s="161" t="str">
        <f t="shared" si="22"/>
        <v/>
      </c>
      <c r="AM87" s="163" t="str">
        <f>IF(AN87="", "", IF(AN87="Closed", IF(ISNUMBER(AF87), AF87-B87,IF(ISNUMBER(AC87), AC87-B87,IF(ISNUMBER(Z87), Z87-B87, ""))), TODAY()-B87))
</f>
        <v/>
      </c>
      <c r="AN87" s="381" t="str">
        <f t="shared" si="11"/>
        <v/>
      </c>
      <c r="AO87" s="366" t="str">
        <f t="shared" si="12"/>
        <v/>
      </c>
      <c r="AP87" s="166" t="str">
        <f t="shared" si="13"/>
        <v/>
      </c>
      <c r="AQ87" s="167" t="str">
        <f t="shared" si="26"/>
        <v/>
      </c>
      <c r="AR87" s="168" t="str">
        <f>IFS(AND(B87&gt;=DATE(2025,1,1), B87&lt;=DATE(2025,1,31)), AQ87/DDashboard!$C$2, AND(B87&gt;=DATE(2025,2,1), B87&lt;=DATE(2025,2,28)), AQ87/DDashboard!$C$3, AND(B87&gt;=DATE(2025,3,1), B87&lt;=DATE(2025,3,31)), AQ87/DDashboard!$C$4, AND(B87&gt;=DATE(2025,4,1), B87&lt;=DATE(2025,4,30)), AQ87/DDashboard!$C$5,AND(B87&gt;=DATE(2025,5,1), B87&lt;=DATE(2025,5,31)), AQ87/DDashboard!$C$6,AND(B87&gt;=DATE(2025,6,1), B87&lt;=DATE(2025,6,30)), AQ87/DDashboard!$C$7,AND(B87&gt;=DATE(2025,7,1), B87&lt;=DATE(2025,7,31)), AQ87/DDashboard!$C$8,AND(B87&gt;=DATE(2025,8,1), B87&lt;=DATE(2025,8,31)), AQ87/DDashboard!$C$9,AND(B87&gt;=DATE(2025,9,1), B87&lt;=DATE(2025,9,30)), AQ87/DDashboard!$C$10,AND(B87&gt;=DATE(2025,10,1), B87&lt;=DATE(2025,10,31)), AQ87/DDashboard!$C$11,AND(B87&gt;=DATE(2025,11,1), B87&lt;=DATE(2025,11,30)), AQ87/DDashboard!$C$12, AND(B87&gt;=DATE(2025,12,1), B87&lt;=DATE(2025,12,31)), AQ87/DDashboard!$C$13, True, "")
</f>
        <v/>
      </c>
      <c r="AS87" s="200" t="str">
        <f t="array" ref="AS87">IF(ISBLANK(C87), "", SUM($AR$9:AR87)
)</f>
        <v/>
      </c>
      <c r="AT87" s="169" t="b">
        <v>0</v>
      </c>
      <c r="AU87" s="169"/>
      <c r="AV87" s="169"/>
      <c r="AW87" s="169"/>
      <c r="AX87" s="383"/>
    </row>
    <row r="88">
      <c r="A88" s="388">
        <v>87.0</v>
      </c>
      <c r="B88" s="184"/>
      <c r="C88" s="185"/>
      <c r="D88" s="400"/>
      <c r="E88" s="187"/>
      <c r="F88" s="188"/>
      <c r="G88" s="397" t="str">
        <f t="shared" si="1"/>
        <v/>
      </c>
      <c r="H88" s="402"/>
      <c r="I88" s="402"/>
      <c r="J88" s="187"/>
      <c r="K88" s="145" t="str">
        <f>IFERROR(__xludf.DUMMYFUNCTION("IF(ISBLANK(C88), """", GOOGLEFINANCE(""NSE:"" &amp; C88,""price""))"),"")</f>
        <v/>
      </c>
      <c r="L88" s="213"/>
      <c r="M88" s="193"/>
      <c r="N88" s="194"/>
      <c r="O88" s="205"/>
      <c r="P88" s="228"/>
      <c r="Q88" s="370"/>
      <c r="R88" s="198"/>
      <c r="S88" s="196"/>
      <c r="T88" s="376"/>
      <c r="U88" s="199" t="str">
        <f t="shared" si="23"/>
        <v/>
      </c>
      <c r="V88" s="200" t="str">
        <f>IFS(AND(B88&gt;=DATE(2025,1,1), B88&lt;=DATE(2025,1,31)), U88/DDashboard!$C$2, AND(B88&gt;=DATE(2025,2,1), B88&lt;=DATE(2025,2,28)), U88/DDashboard!$C$3, AND(B88&gt;=DATE(2025,3,1), B88&lt;=DATE(2025,3,31)), U88/DDashboard!$C$4, AND(B88&gt;=DATE(2025,4,1), B88&lt;=DATE(2025,4,30)), U88/DDashboard!$C$5,AND(B88&gt;=DATE(2025,5,1), B88&lt;=DATE(2025,5,31)), U88/DDashboard!$C$6,AND(B88&gt;=DATE(2025,6,1), B88&lt;=DATE(2025,6,30)), U88/DDashboard!$C$7,AND(B88&gt;=DATE(2025,7,1), B88&lt;=DATE(2025,7,31)), U88/DDashboard!$C$8,AND(B88&gt;=DATE(2025,8,1), B88&lt;=DATE(2025,8,31)), U88/DDashboard!$C$9,AND(B88&gt;=DATE(2025,9,1), B88&lt;=DATE(2025,9,30)), U88/DDashboard!$C$10,AND(B88&gt;=DATE(2025,10,1), B88&lt;=DATE(2025,10,31)), U88/DDashboard!$C$11,AND(B88&gt;=DATE(2025,11,1), B88&lt;=DATE(2025,11,30)), U88/DDashboard!$C$12, AND(B88&gt;=DATE(2025,12,1), B88&lt;=DATE(2025,12,31)), U88/DDashboard!$C$13, True, "")
</f>
        <v/>
      </c>
      <c r="W88" s="201" t="str">
        <f t="shared" si="3"/>
        <v/>
      </c>
      <c r="X88" s="202"/>
      <c r="Y88" s="203"/>
      <c r="Z88" s="391"/>
      <c r="AA88" s="198"/>
      <c r="AB88" s="203"/>
      <c r="AC88" s="372"/>
      <c r="AD88" s="205"/>
      <c r="AE88" s="203"/>
      <c r="AF88" s="372"/>
      <c r="AG88" s="206" t="str">
        <f t="shared" si="4"/>
        <v/>
      </c>
      <c r="AH88" s="385" t="str">
        <f t="shared" si="5"/>
        <v/>
      </c>
      <c r="AI88" s="207" t="str">
        <f t="shared" si="24"/>
        <v/>
      </c>
      <c r="AJ88" s="367" t="str">
        <f t="shared" si="7"/>
        <v/>
      </c>
      <c r="AK88" s="208" t="str">
        <f t="shared" si="25"/>
        <v/>
      </c>
      <c r="AL88" s="207" t="str">
        <f t="shared" si="22"/>
        <v/>
      </c>
      <c r="AM88" s="209" t="str">
        <f>IF(AN88="", "", IF(AN88="Closed", 
    IF(ISNUMBER(AF88), AF88-B88,
        IF(ISNUMBER(AC88), AC88-B88,
            IF(ISNUMBER(Z88), Z88-B88, "")
        )
    ), 
    TODAY()-B88))</f>
        <v/>
      </c>
      <c r="AN88" s="386" t="str">
        <f t="shared" si="11"/>
        <v/>
      </c>
      <c r="AO88" s="366" t="str">
        <f t="shared" si="12"/>
        <v/>
      </c>
      <c r="AP88" s="210" t="str">
        <f t="shared" si="13"/>
        <v/>
      </c>
      <c r="AQ88" s="196" t="str">
        <f t="shared" si="26"/>
        <v/>
      </c>
      <c r="AR88" s="168" t="str">
        <f>IFS(AND(B88&gt;=DATE(2025,1,1), B88&lt;=DATE(2025,1,31)), AQ88/DDashboard!$C$2, AND(B88&gt;=DATE(2025,2,1), B88&lt;=DATE(2025,2,28)), AQ88/DDashboard!$C$3, AND(B88&gt;=DATE(2025,3,1), B88&lt;=DATE(2025,3,31)), AQ88/DDashboard!$C$4, AND(B88&gt;=DATE(2025,4,1), B88&lt;=DATE(2025,4,30)), AQ88/DDashboard!$C$5,AND(B88&gt;=DATE(2025,5,1), B88&lt;=DATE(2025,5,31)), AQ88/DDashboard!$C$6,AND(B88&gt;=DATE(2025,6,1), B88&lt;=DATE(2025,6,30)), AQ88/DDashboard!$C$7,AND(B88&gt;=DATE(2025,7,1), B88&lt;=DATE(2025,7,31)), AQ88/DDashboard!$C$8,AND(B88&gt;=DATE(2025,8,1), B88&lt;=DATE(2025,8,31)), AQ88/DDashboard!$C$9,AND(B88&gt;=DATE(2025,9,1), B88&lt;=DATE(2025,9,30)), AQ88/DDashboard!$C$10,AND(B88&gt;=DATE(2025,10,1), B88&lt;=DATE(2025,10,31)), AQ88/DDashboard!$C$11,AND(B88&gt;=DATE(2025,11,1), B88&lt;=DATE(2025,11,30)), AQ88/DDashboard!$C$12, AND(B88&gt;=DATE(2025,12,1), B88&lt;=DATE(2025,12,31)), AQ88/DDashboard!$C$13, True, "")
</f>
        <v/>
      </c>
      <c r="AS88" s="200" t="str">
        <f t="array" ref="AS88">IF(ISBLANK(C88), "", SUM($AR$9:AR88)
)</f>
        <v/>
      </c>
      <c r="AT88" s="169" t="b">
        <v>0</v>
      </c>
      <c r="AU88" s="169"/>
      <c r="AV88" s="169"/>
      <c r="AW88" s="169"/>
      <c r="AX88" s="387"/>
    </row>
    <row r="89">
      <c r="A89" s="389">
        <v>88.0</v>
      </c>
      <c r="B89" s="138"/>
      <c r="C89" s="139"/>
      <c r="D89" s="401"/>
      <c r="E89" s="403"/>
      <c r="F89" s="142"/>
      <c r="G89" s="398" t="str">
        <f t="shared" si="1"/>
        <v/>
      </c>
      <c r="H89" s="399"/>
      <c r="I89" s="399"/>
      <c r="J89" s="141"/>
      <c r="K89" s="145" t="str">
        <f>IFERROR(__xludf.DUMMYFUNCTION("IF(ISBLANK(C89), """", GOOGLEFINANCE(""NSE:"" &amp; C89,""price""))"),"")</f>
        <v/>
      </c>
      <c r="L89" s="146"/>
      <c r="M89" s="147"/>
      <c r="N89" s="148"/>
      <c r="O89" s="149"/>
      <c r="P89" s="150"/>
      <c r="Q89" s="377"/>
      <c r="R89" s="152"/>
      <c r="S89" s="150"/>
      <c r="T89" s="377"/>
      <c r="U89" s="153" t="str">
        <f t="shared" si="23"/>
        <v/>
      </c>
      <c r="V89" s="154" t="str">
        <f>IFS(AND(B89&gt;=DATE(2025,1,1), B89&lt;=DATE(2025,1,31)), U89/DDashboard!$C$2, AND(B89&gt;=DATE(2025,2,1), B89&lt;=DATE(2025,2,28)), U89/DDashboard!$C$3, AND(B89&gt;=DATE(2025,3,1), B89&lt;=DATE(2025,3,31)), U89/DDashboard!$C$4, AND(B89&gt;=DATE(2025,4,1), B89&lt;=DATE(2025,4,30)), U89/DDashboard!$C$5,AND(B89&gt;=DATE(2025,5,1), B89&lt;=DATE(2025,5,31)), U89/DDashboard!$C$6,AND(B89&gt;=DATE(2025,6,1), B89&lt;=DATE(2025,6,30)), U89/DDashboard!$C$7,AND(B89&gt;=DATE(2025,7,1), B89&lt;=DATE(2025,7,31)), U89/DDashboard!$C$8,AND(B89&gt;=DATE(2025,8,1), B89&lt;=DATE(2025,8,31)), U89/DDashboard!$C$9,AND(B89&gt;=DATE(2025,9,1), B89&lt;=DATE(2025,9,30)), U89/DDashboard!$C$10,AND(B89&gt;=DATE(2025,10,1), B89&lt;=DATE(2025,10,31)), U89/DDashboard!$C$11,AND(B89&gt;=DATE(2025,11,1), B89&lt;=DATE(2025,11,30)), U89/DDashboard!$C$12, AND(B89&gt;=DATE(2025,12,1), B89&lt;=DATE(2025,12,31)), U89/DDashboard!$C$13, True, "")
</f>
        <v/>
      </c>
      <c r="W89" s="65" t="str">
        <f t="shared" si="3"/>
        <v/>
      </c>
      <c r="X89" s="155"/>
      <c r="Y89" s="156"/>
      <c r="Z89" s="392"/>
      <c r="AA89" s="155"/>
      <c r="AB89" s="156"/>
      <c r="AC89" s="375"/>
      <c r="AD89" s="358"/>
      <c r="AE89" s="359"/>
      <c r="AF89" s="360"/>
      <c r="AG89" s="160" t="str">
        <f t="shared" si="4"/>
        <v/>
      </c>
      <c r="AH89" s="393" t="str">
        <f t="shared" si="5"/>
        <v/>
      </c>
      <c r="AI89" s="161" t="str">
        <f t="shared" si="24"/>
        <v/>
      </c>
      <c r="AJ89" s="365" t="str">
        <f t="shared" si="7"/>
        <v/>
      </c>
      <c r="AK89" s="162" t="str">
        <f t="shared" si="25"/>
        <v/>
      </c>
      <c r="AL89" s="161" t="str">
        <f t="shared" si="22"/>
        <v/>
      </c>
      <c r="AM89" s="163" t="str">
        <f>IF(AN89="", "", IF(AN89="Closed", IF(ISNUMBER(AF89), AF89-B89,IF(ISNUMBER(AC89), AC89-B89,IF(ISNUMBER(Z89), Z89-B89, ""))), TODAY()-B89))
</f>
        <v/>
      </c>
      <c r="AN89" s="381" t="str">
        <f t="shared" si="11"/>
        <v/>
      </c>
      <c r="AO89" s="366" t="str">
        <f t="shared" si="12"/>
        <v/>
      </c>
      <c r="AP89" s="166" t="str">
        <f t="shared" si="13"/>
        <v/>
      </c>
      <c r="AQ89" s="167" t="str">
        <f t="shared" si="26"/>
        <v/>
      </c>
      <c r="AR89" s="168" t="str">
        <f>IFS(AND(B89&gt;=DATE(2025,1,1), B89&lt;=DATE(2025,1,31)), AQ89/DDashboard!$C$2, AND(B89&gt;=DATE(2025,2,1), B89&lt;=DATE(2025,2,28)), AQ89/DDashboard!$C$3, AND(B89&gt;=DATE(2025,3,1), B89&lt;=DATE(2025,3,31)), AQ89/DDashboard!$C$4, AND(B89&gt;=DATE(2025,4,1), B89&lt;=DATE(2025,4,30)), AQ89/DDashboard!$C$5,AND(B89&gt;=DATE(2025,5,1), B89&lt;=DATE(2025,5,31)), AQ89/DDashboard!$C$6,AND(B89&gt;=DATE(2025,6,1), B89&lt;=DATE(2025,6,30)), AQ89/DDashboard!$C$7,AND(B89&gt;=DATE(2025,7,1), B89&lt;=DATE(2025,7,31)), AQ89/DDashboard!$C$8,AND(B89&gt;=DATE(2025,8,1), B89&lt;=DATE(2025,8,31)), AQ89/DDashboard!$C$9,AND(B89&gt;=DATE(2025,9,1), B89&lt;=DATE(2025,9,30)), AQ89/DDashboard!$C$10,AND(B89&gt;=DATE(2025,10,1), B89&lt;=DATE(2025,10,31)), AQ89/DDashboard!$C$11,AND(B89&gt;=DATE(2025,11,1), B89&lt;=DATE(2025,11,30)), AQ89/DDashboard!$C$12, AND(B89&gt;=DATE(2025,12,1), B89&lt;=DATE(2025,12,31)), AQ89/DDashboard!$C$13, True, "")
</f>
        <v/>
      </c>
      <c r="AS89" s="200" t="str">
        <f t="array" ref="AS89">IF(ISBLANK(C89), "", SUM($AR$9:AR89)
)</f>
        <v/>
      </c>
      <c r="AT89" s="169" t="b">
        <v>0</v>
      </c>
      <c r="AU89" s="169"/>
      <c r="AV89" s="169"/>
      <c r="AW89" s="169"/>
      <c r="AX89" s="383"/>
    </row>
    <row r="90">
      <c r="A90" s="388">
        <v>89.0</v>
      </c>
      <c r="B90" s="184"/>
      <c r="C90" s="185"/>
      <c r="D90" s="404"/>
      <c r="E90" s="404"/>
      <c r="F90" s="188"/>
      <c r="G90" s="397" t="str">
        <f t="shared" si="1"/>
        <v/>
      </c>
      <c r="H90" s="190"/>
      <c r="I90" s="402"/>
      <c r="J90" s="187"/>
      <c r="K90" s="145" t="str">
        <f>IFERROR(__xludf.DUMMYFUNCTION("IF(ISBLANK(C90), """", GOOGLEFINANCE(""NSE:"" &amp; C90,""price""))"),"")</f>
        <v/>
      </c>
      <c r="L90" s="213"/>
      <c r="M90" s="193"/>
      <c r="N90" s="194"/>
      <c r="O90" s="195"/>
      <c r="P90" s="196"/>
      <c r="Q90" s="376"/>
      <c r="R90" s="198"/>
      <c r="S90" s="196"/>
      <c r="T90" s="376"/>
      <c r="U90" s="199" t="str">
        <f t="shared" si="23"/>
        <v/>
      </c>
      <c r="V90" s="200" t="str">
        <f>IFS(AND(B90&gt;=DATE(2025,1,1), B90&lt;=DATE(2025,1,31)), U90/DDashboard!$C$2, AND(B90&gt;=DATE(2025,2,1), B90&lt;=DATE(2025,2,28)), U90/DDashboard!$C$3, AND(B90&gt;=DATE(2025,3,1), B90&lt;=DATE(2025,3,31)), U90/DDashboard!$C$4, AND(B90&gt;=DATE(2025,4,1), B90&lt;=DATE(2025,4,30)), U90/DDashboard!$C$5,AND(B90&gt;=DATE(2025,5,1), B90&lt;=DATE(2025,5,31)), U90/DDashboard!$C$6,AND(B90&gt;=DATE(2025,6,1), B90&lt;=DATE(2025,6,30)), U90/DDashboard!$C$7,AND(B90&gt;=DATE(2025,7,1), B90&lt;=DATE(2025,7,31)), U90/DDashboard!$C$8,AND(B90&gt;=DATE(2025,8,1), B90&lt;=DATE(2025,8,31)), U90/DDashboard!$C$9,AND(B90&gt;=DATE(2025,9,1), B90&lt;=DATE(2025,9,30)), U90/DDashboard!$C$10,AND(B90&gt;=DATE(2025,10,1), B90&lt;=DATE(2025,10,31)), U90/DDashboard!$C$11,AND(B90&gt;=DATE(2025,11,1), B90&lt;=DATE(2025,11,30)), U90/DDashboard!$C$12, AND(B90&gt;=DATE(2025,12,1), B90&lt;=DATE(2025,12,31)), U90/DDashboard!$C$13, True, "")
</f>
        <v/>
      </c>
      <c r="W90" s="201" t="str">
        <f t="shared" si="3"/>
        <v/>
      </c>
      <c r="X90" s="202"/>
      <c r="Y90" s="203"/>
      <c r="Z90" s="391"/>
      <c r="AA90" s="198"/>
      <c r="AB90" s="222"/>
      <c r="AC90" s="372"/>
      <c r="AD90" s="195"/>
      <c r="AE90" s="222"/>
      <c r="AF90" s="223"/>
      <c r="AG90" s="206" t="str">
        <f t="shared" si="4"/>
        <v/>
      </c>
      <c r="AH90" s="385" t="str">
        <f t="shared" si="5"/>
        <v/>
      </c>
      <c r="AI90" s="207" t="str">
        <f t="shared" si="24"/>
        <v/>
      </c>
      <c r="AJ90" s="367" t="str">
        <f t="shared" si="7"/>
        <v/>
      </c>
      <c r="AK90" s="208" t="str">
        <f t="shared" si="25"/>
        <v/>
      </c>
      <c r="AL90" s="207" t="str">
        <f t="shared" si="22"/>
        <v/>
      </c>
      <c r="AM90" s="209" t="str">
        <f>IF(AN90="", "", IF(AN90="Closed", 
    IF(ISNUMBER(AF90), AF90-B90,
        IF(ISNUMBER(AC90), AC90-B90,
            IF(ISNUMBER(Z90), Z90-B90, "")
        )
    ), 
    TODAY()-B90))</f>
        <v/>
      </c>
      <c r="AN90" s="386" t="str">
        <f t="shared" si="11"/>
        <v/>
      </c>
      <c r="AO90" s="366" t="str">
        <f t="shared" si="12"/>
        <v/>
      </c>
      <c r="AP90" s="210" t="str">
        <f t="shared" si="13"/>
        <v/>
      </c>
      <c r="AQ90" s="196" t="str">
        <f t="shared" si="26"/>
        <v/>
      </c>
      <c r="AR90" s="168" t="str">
        <f>IFS(AND(B90&gt;=DATE(2025,1,1), B90&lt;=DATE(2025,1,31)), AQ90/DDashboard!$C$2, AND(B90&gt;=DATE(2025,2,1), B90&lt;=DATE(2025,2,28)), AQ90/DDashboard!$C$3, AND(B90&gt;=DATE(2025,3,1), B90&lt;=DATE(2025,3,31)), AQ90/DDashboard!$C$4, AND(B90&gt;=DATE(2025,4,1), B90&lt;=DATE(2025,4,30)), AQ90/DDashboard!$C$5,AND(B90&gt;=DATE(2025,5,1), B90&lt;=DATE(2025,5,31)), AQ90/DDashboard!$C$6,AND(B90&gt;=DATE(2025,6,1), B90&lt;=DATE(2025,6,30)), AQ90/DDashboard!$C$7,AND(B90&gt;=DATE(2025,7,1), B90&lt;=DATE(2025,7,31)), AQ90/DDashboard!$C$8,AND(B90&gt;=DATE(2025,8,1), B90&lt;=DATE(2025,8,31)), AQ90/DDashboard!$C$9,AND(B90&gt;=DATE(2025,9,1), B90&lt;=DATE(2025,9,30)), AQ90/DDashboard!$C$10,AND(B90&gt;=DATE(2025,10,1), B90&lt;=DATE(2025,10,31)), AQ90/DDashboard!$C$11,AND(B90&gt;=DATE(2025,11,1), B90&lt;=DATE(2025,11,30)), AQ90/DDashboard!$C$12, AND(B90&gt;=DATE(2025,12,1), B90&lt;=DATE(2025,12,31)), AQ90/DDashboard!$C$13, True, "")
</f>
        <v/>
      </c>
      <c r="AS90" s="200" t="str">
        <f t="array" ref="AS90">IF(ISBLANK(C90), "", SUM($AR$9:AR90)
)</f>
        <v/>
      </c>
      <c r="AT90" s="169" t="b">
        <v>0</v>
      </c>
      <c r="AU90" s="169"/>
      <c r="AV90" s="169"/>
      <c r="AW90" s="169"/>
      <c r="AX90" s="387"/>
    </row>
    <row r="91">
      <c r="A91" s="389">
        <v>90.0</v>
      </c>
      <c r="B91" s="138"/>
      <c r="C91" s="139"/>
      <c r="D91" s="401"/>
      <c r="E91" s="403"/>
      <c r="F91" s="142"/>
      <c r="G91" s="398" t="str">
        <f t="shared" si="1"/>
        <v/>
      </c>
      <c r="H91" s="399"/>
      <c r="I91" s="399"/>
      <c r="J91" s="141"/>
      <c r="K91" s="145" t="str">
        <f>IFERROR(__xludf.DUMMYFUNCTION("IF(ISBLANK(C91), """", GOOGLEFINANCE(""NSE:"" &amp; C91,""price""))"),"")</f>
        <v/>
      </c>
      <c r="L91" s="146"/>
      <c r="M91" s="147"/>
      <c r="N91" s="148"/>
      <c r="O91" s="225"/>
      <c r="P91" s="226"/>
      <c r="Q91" s="368"/>
      <c r="R91" s="152"/>
      <c r="S91" s="150"/>
      <c r="T91" s="377"/>
      <c r="U91" s="153" t="str">
        <f t="shared" si="23"/>
        <v/>
      </c>
      <c r="V91" s="154" t="str">
        <f>IFS(AND(B91&gt;=DATE(2025,1,1), B91&lt;=DATE(2025,1,31)), U91/DDashboard!$C$2, AND(B91&gt;=DATE(2025,2,1), B91&lt;=DATE(2025,2,28)), U91/DDashboard!$C$3, AND(B91&gt;=DATE(2025,3,1), B91&lt;=DATE(2025,3,31)), U91/DDashboard!$C$4, AND(B91&gt;=DATE(2025,4,1), B91&lt;=DATE(2025,4,30)), U91/DDashboard!$C$5,AND(B91&gt;=DATE(2025,5,1), B91&lt;=DATE(2025,5,31)), U91/DDashboard!$C$6,AND(B91&gt;=DATE(2025,6,1), B91&lt;=DATE(2025,6,30)), U91/DDashboard!$C$7,AND(B91&gt;=DATE(2025,7,1), B91&lt;=DATE(2025,7,31)), U91/DDashboard!$C$8,AND(B91&gt;=DATE(2025,8,1), B91&lt;=DATE(2025,8,31)), U91/DDashboard!$C$9,AND(B91&gt;=DATE(2025,9,1), B91&lt;=DATE(2025,9,30)), U91/DDashboard!$C$10,AND(B91&gt;=DATE(2025,10,1), B91&lt;=DATE(2025,10,31)), U91/DDashboard!$C$11,AND(B91&gt;=DATE(2025,11,1), B91&lt;=DATE(2025,11,30)), U91/DDashboard!$C$12, AND(B91&gt;=DATE(2025,12,1), B91&lt;=DATE(2025,12,31)), U91/DDashboard!$C$13, True, "")
</f>
        <v/>
      </c>
      <c r="W91" s="65" t="str">
        <f t="shared" si="3"/>
        <v/>
      </c>
      <c r="X91" s="155"/>
      <c r="Y91" s="156"/>
      <c r="Z91" s="392"/>
      <c r="AA91" s="155"/>
      <c r="AB91" s="156"/>
      <c r="AC91" s="375"/>
      <c r="AD91" s="159"/>
      <c r="AE91" s="156"/>
      <c r="AF91" s="375"/>
      <c r="AG91" s="160" t="str">
        <f t="shared" si="4"/>
        <v/>
      </c>
      <c r="AH91" s="393" t="str">
        <f t="shared" si="5"/>
        <v/>
      </c>
      <c r="AI91" s="161" t="str">
        <f t="shared" si="24"/>
        <v/>
      </c>
      <c r="AJ91" s="365" t="str">
        <f t="shared" si="7"/>
        <v/>
      </c>
      <c r="AK91" s="162" t="str">
        <f t="shared" si="25"/>
        <v/>
      </c>
      <c r="AL91" s="161" t="str">
        <f t="shared" si="22"/>
        <v/>
      </c>
      <c r="AM91" s="163" t="str">
        <f>IF(AN91="", "", IF(AN91="Closed", IF(ISNUMBER(AF91), AF91-B91,IF(ISNUMBER(AC91), AC91-B91,IF(ISNUMBER(Z91), Z91-B91, ""))), TODAY()-B91))
</f>
        <v/>
      </c>
      <c r="AN91" s="381" t="str">
        <f t="shared" si="11"/>
        <v/>
      </c>
      <c r="AO91" s="366" t="str">
        <f t="shared" si="12"/>
        <v/>
      </c>
      <c r="AP91" s="166" t="str">
        <f t="shared" si="13"/>
        <v/>
      </c>
      <c r="AQ91" s="167" t="str">
        <f t="shared" si="26"/>
        <v/>
      </c>
      <c r="AR91" s="168" t="str">
        <f>IFS(AND(B91&gt;=DATE(2025,1,1), B91&lt;=DATE(2025,1,31)), AQ91/DDashboard!$C$2, AND(B91&gt;=DATE(2025,2,1), B91&lt;=DATE(2025,2,28)), AQ91/DDashboard!$C$3, AND(B91&gt;=DATE(2025,3,1), B91&lt;=DATE(2025,3,31)), AQ91/DDashboard!$C$4, AND(B91&gt;=DATE(2025,4,1), B91&lt;=DATE(2025,4,30)), AQ91/DDashboard!$C$5,AND(B91&gt;=DATE(2025,5,1), B91&lt;=DATE(2025,5,31)), AQ91/DDashboard!$C$6,AND(B91&gt;=DATE(2025,6,1), B91&lt;=DATE(2025,6,30)), AQ91/DDashboard!$C$7,AND(B91&gt;=DATE(2025,7,1), B91&lt;=DATE(2025,7,31)), AQ91/DDashboard!$C$8,AND(B91&gt;=DATE(2025,8,1), B91&lt;=DATE(2025,8,31)), AQ91/DDashboard!$C$9,AND(B91&gt;=DATE(2025,9,1), B91&lt;=DATE(2025,9,30)), AQ91/DDashboard!$C$10,AND(B91&gt;=DATE(2025,10,1), B91&lt;=DATE(2025,10,31)), AQ91/DDashboard!$C$11,AND(B91&gt;=DATE(2025,11,1), B91&lt;=DATE(2025,11,30)), AQ91/DDashboard!$C$12, AND(B91&gt;=DATE(2025,12,1), B91&lt;=DATE(2025,12,31)), AQ91/DDashboard!$C$13, True, "")
</f>
        <v/>
      </c>
      <c r="AS91" s="200" t="str">
        <f t="array" ref="AS91">IF(ISBLANK(C91), "", SUM($AR$9:AR91)
)</f>
        <v/>
      </c>
      <c r="AT91" s="169" t="b">
        <v>0</v>
      </c>
      <c r="AU91" s="169"/>
      <c r="AV91" s="169"/>
      <c r="AW91" s="169"/>
      <c r="AX91" s="383"/>
    </row>
    <row r="92">
      <c r="A92" s="388">
        <v>91.0</v>
      </c>
      <c r="B92" s="184"/>
      <c r="C92" s="185"/>
      <c r="D92" s="400"/>
      <c r="E92" s="404"/>
      <c r="F92" s="188"/>
      <c r="G92" s="397" t="str">
        <f t="shared" si="1"/>
        <v/>
      </c>
      <c r="H92" s="402"/>
      <c r="I92" s="402"/>
      <c r="J92" s="187"/>
      <c r="K92" s="145" t="str">
        <f>IFERROR(__xludf.DUMMYFUNCTION("IF(ISBLANK(C92), """", GOOGLEFINANCE(""NSE:"" &amp; C92,""price""))"),"")</f>
        <v/>
      </c>
      <c r="L92" s="213"/>
      <c r="M92" s="193"/>
      <c r="N92" s="194"/>
      <c r="O92" s="205"/>
      <c r="P92" s="228"/>
      <c r="Q92" s="370"/>
      <c r="R92" s="198"/>
      <c r="S92" s="196"/>
      <c r="T92" s="376"/>
      <c r="U92" s="199" t="str">
        <f t="shared" si="23"/>
        <v/>
      </c>
      <c r="V92" s="200" t="str">
        <f>IFS(AND(B92&gt;=DATE(2025,1,1), B92&lt;=DATE(2025,1,31)), U92/DDashboard!$C$2, AND(B92&gt;=DATE(2025,2,1), B92&lt;=DATE(2025,2,28)), U92/DDashboard!$C$3, AND(B92&gt;=DATE(2025,3,1), B92&lt;=DATE(2025,3,31)), U92/DDashboard!$C$4, AND(B92&gt;=DATE(2025,4,1), B92&lt;=DATE(2025,4,30)), U92/DDashboard!$C$5,AND(B92&gt;=DATE(2025,5,1), B92&lt;=DATE(2025,5,31)), U92/DDashboard!$C$6,AND(B92&gt;=DATE(2025,6,1), B92&lt;=DATE(2025,6,30)), U92/DDashboard!$C$7,AND(B92&gt;=DATE(2025,7,1), B92&lt;=DATE(2025,7,31)), U92/DDashboard!$C$8,AND(B92&gt;=DATE(2025,8,1), B92&lt;=DATE(2025,8,31)), U92/DDashboard!$C$9,AND(B92&gt;=DATE(2025,9,1), B92&lt;=DATE(2025,9,30)), U92/DDashboard!$C$10,AND(B92&gt;=DATE(2025,10,1), B92&lt;=DATE(2025,10,31)), U92/DDashboard!$C$11,AND(B92&gt;=DATE(2025,11,1), B92&lt;=DATE(2025,11,30)), U92/DDashboard!$C$12, AND(B92&gt;=DATE(2025,12,1), B92&lt;=DATE(2025,12,31)), U92/DDashboard!$C$13, True, "")
</f>
        <v/>
      </c>
      <c r="W92" s="201" t="str">
        <f t="shared" si="3"/>
        <v/>
      </c>
      <c r="X92" s="202"/>
      <c r="Y92" s="203"/>
      <c r="Z92" s="391"/>
      <c r="AA92" s="202"/>
      <c r="AB92" s="203"/>
      <c r="AC92" s="372"/>
      <c r="AD92" s="195"/>
      <c r="AE92" s="222"/>
      <c r="AF92" s="223"/>
      <c r="AG92" s="206" t="str">
        <f t="shared" si="4"/>
        <v/>
      </c>
      <c r="AH92" s="385" t="str">
        <f t="shared" si="5"/>
        <v/>
      </c>
      <c r="AI92" s="207" t="str">
        <f t="shared" si="24"/>
        <v/>
      </c>
      <c r="AJ92" s="367" t="str">
        <f t="shared" si="7"/>
        <v/>
      </c>
      <c r="AK92" s="208" t="str">
        <f t="shared" si="25"/>
        <v/>
      </c>
      <c r="AL92" s="207" t="str">
        <f t="shared" si="22"/>
        <v/>
      </c>
      <c r="AM92" s="209" t="str">
        <f>IF(AN92="", "", IF(AN92="Closed", 
    IF(ISNUMBER(AF92), AF92-B92,
        IF(ISNUMBER(AC92), AC92-B92,
            IF(ISNUMBER(Z92), Z92-B92, "")
        )
    ), 
    TODAY()-B92))</f>
        <v/>
      </c>
      <c r="AN92" s="386" t="str">
        <f t="shared" si="11"/>
        <v/>
      </c>
      <c r="AO92" s="366" t="str">
        <f t="shared" si="12"/>
        <v/>
      </c>
      <c r="AP92" s="210" t="str">
        <f t="shared" si="13"/>
        <v/>
      </c>
      <c r="AQ92" s="196" t="str">
        <f t="shared" si="26"/>
        <v/>
      </c>
      <c r="AR92" s="168" t="str">
        <f>IFS(AND(B92&gt;=DATE(2025,1,1), B92&lt;=DATE(2025,1,31)), AQ92/DDashboard!$C$2, AND(B92&gt;=DATE(2025,2,1), B92&lt;=DATE(2025,2,28)), AQ92/DDashboard!$C$3, AND(B92&gt;=DATE(2025,3,1), B92&lt;=DATE(2025,3,31)), AQ92/DDashboard!$C$4, AND(B92&gt;=DATE(2025,4,1), B92&lt;=DATE(2025,4,30)), AQ92/DDashboard!$C$5,AND(B92&gt;=DATE(2025,5,1), B92&lt;=DATE(2025,5,31)), AQ92/DDashboard!$C$6,AND(B92&gt;=DATE(2025,6,1), B92&lt;=DATE(2025,6,30)), AQ92/DDashboard!$C$7,AND(B92&gt;=DATE(2025,7,1), B92&lt;=DATE(2025,7,31)), AQ92/DDashboard!$C$8,AND(B92&gt;=DATE(2025,8,1), B92&lt;=DATE(2025,8,31)), AQ92/DDashboard!$C$9,AND(B92&gt;=DATE(2025,9,1), B92&lt;=DATE(2025,9,30)), AQ92/DDashboard!$C$10,AND(B92&gt;=DATE(2025,10,1), B92&lt;=DATE(2025,10,31)), AQ92/DDashboard!$C$11,AND(B92&gt;=DATE(2025,11,1), B92&lt;=DATE(2025,11,30)), AQ92/DDashboard!$C$12, AND(B92&gt;=DATE(2025,12,1), B92&lt;=DATE(2025,12,31)), AQ92/DDashboard!$C$13, True, "")
</f>
        <v/>
      </c>
      <c r="AS92" s="200" t="str">
        <f t="array" ref="AS92">IF(ISBLANK(C92), "", SUM($AR$9:AR92)
)</f>
        <v/>
      </c>
      <c r="AT92" s="169" t="b">
        <v>0</v>
      </c>
      <c r="AU92" s="169"/>
      <c r="AV92" s="169"/>
      <c r="AW92" s="169"/>
      <c r="AX92" s="387"/>
    </row>
    <row r="93">
      <c r="A93" s="389">
        <v>92.0</v>
      </c>
      <c r="B93" s="138"/>
      <c r="C93" s="139"/>
      <c r="D93" s="401"/>
      <c r="E93" s="403"/>
      <c r="F93" s="142"/>
      <c r="G93" s="398" t="str">
        <f t="shared" si="1"/>
        <v/>
      </c>
      <c r="H93" s="399"/>
      <c r="I93" s="399"/>
      <c r="J93" s="141"/>
      <c r="K93" s="145" t="str">
        <f>IFERROR(__xludf.DUMMYFUNCTION("IF(ISBLANK(C93), """", GOOGLEFINANCE(""NSE:"" &amp; C93,""price""))"),"")</f>
        <v/>
      </c>
      <c r="L93" s="146"/>
      <c r="M93" s="147"/>
      <c r="N93" s="148"/>
      <c r="O93" s="149"/>
      <c r="P93" s="150"/>
      <c r="Q93" s="377"/>
      <c r="R93" s="152"/>
      <c r="S93" s="150"/>
      <c r="T93" s="377"/>
      <c r="U93" s="153" t="str">
        <f t="shared" si="23"/>
        <v/>
      </c>
      <c r="V93" s="154" t="str">
        <f>IFS(AND(B93&gt;=DATE(2025,1,1), B93&lt;=DATE(2025,1,31)), U93/DDashboard!$C$2, AND(B93&gt;=DATE(2025,2,1), B93&lt;=DATE(2025,2,28)), U93/DDashboard!$C$3, AND(B93&gt;=DATE(2025,3,1), B93&lt;=DATE(2025,3,31)), U93/DDashboard!$C$4, AND(B93&gt;=DATE(2025,4,1), B93&lt;=DATE(2025,4,30)), U93/DDashboard!$C$5,AND(B93&gt;=DATE(2025,5,1), B93&lt;=DATE(2025,5,31)), U93/DDashboard!$C$6,AND(B93&gt;=DATE(2025,6,1), B93&lt;=DATE(2025,6,30)), U93/DDashboard!$C$7,AND(B93&gt;=DATE(2025,7,1), B93&lt;=DATE(2025,7,31)), U93/DDashboard!$C$8,AND(B93&gt;=DATE(2025,8,1), B93&lt;=DATE(2025,8,31)), U93/DDashboard!$C$9,AND(B93&gt;=DATE(2025,9,1), B93&lt;=DATE(2025,9,30)), U93/DDashboard!$C$10,AND(B93&gt;=DATE(2025,10,1), B93&lt;=DATE(2025,10,31)), U93/DDashboard!$C$11,AND(B93&gt;=DATE(2025,11,1), B93&lt;=DATE(2025,11,30)), U93/DDashboard!$C$12, AND(B93&gt;=DATE(2025,12,1), B93&lt;=DATE(2025,12,31)), U93/DDashboard!$C$13, True, "")
</f>
        <v/>
      </c>
      <c r="W93" s="65" t="str">
        <f t="shared" si="3"/>
        <v/>
      </c>
      <c r="X93" s="155"/>
      <c r="Y93" s="156"/>
      <c r="Z93" s="392"/>
      <c r="AA93" s="155"/>
      <c r="AB93" s="156"/>
      <c r="AC93" s="375"/>
      <c r="AD93" s="159"/>
      <c r="AE93" s="156"/>
      <c r="AF93" s="375"/>
      <c r="AG93" s="160" t="str">
        <f t="shared" si="4"/>
        <v/>
      </c>
      <c r="AH93" s="393" t="str">
        <f t="shared" si="5"/>
        <v/>
      </c>
      <c r="AI93" s="161" t="str">
        <f t="shared" si="24"/>
        <v/>
      </c>
      <c r="AJ93" s="365" t="str">
        <f t="shared" si="7"/>
        <v/>
      </c>
      <c r="AK93" s="162" t="str">
        <f t="shared" si="25"/>
        <v/>
      </c>
      <c r="AL93" s="161" t="str">
        <f t="shared" si="22"/>
        <v/>
      </c>
      <c r="AM93" s="163" t="str">
        <f>IF(AN93="", "", IF(AN93="Closed", IF(ISNUMBER(AF93), AF93-B93,IF(ISNUMBER(AC93), AC93-B93,IF(ISNUMBER(Z93), Z93-B93, ""))), TODAY()-B93))
</f>
        <v/>
      </c>
      <c r="AN93" s="381" t="str">
        <f t="shared" si="11"/>
        <v/>
      </c>
      <c r="AO93" s="366" t="str">
        <f t="shared" si="12"/>
        <v/>
      </c>
      <c r="AP93" s="166" t="str">
        <f t="shared" si="13"/>
        <v/>
      </c>
      <c r="AQ93" s="167" t="str">
        <f t="shared" si="26"/>
        <v/>
      </c>
      <c r="AR93" s="168" t="str">
        <f>IFS(AND(B93&gt;=DATE(2025,1,1), B93&lt;=DATE(2025,1,31)), AQ93/DDashboard!$C$2, AND(B93&gt;=DATE(2025,2,1), B93&lt;=DATE(2025,2,28)), AQ93/DDashboard!$C$3, AND(B93&gt;=DATE(2025,3,1), B93&lt;=DATE(2025,3,31)), AQ93/DDashboard!$C$4, AND(B93&gt;=DATE(2025,4,1), B93&lt;=DATE(2025,4,30)), AQ93/DDashboard!$C$5,AND(B93&gt;=DATE(2025,5,1), B93&lt;=DATE(2025,5,31)), AQ93/DDashboard!$C$6,AND(B93&gt;=DATE(2025,6,1), B93&lt;=DATE(2025,6,30)), AQ93/DDashboard!$C$7,AND(B93&gt;=DATE(2025,7,1), B93&lt;=DATE(2025,7,31)), AQ93/DDashboard!$C$8,AND(B93&gt;=DATE(2025,8,1), B93&lt;=DATE(2025,8,31)), AQ93/DDashboard!$C$9,AND(B93&gt;=DATE(2025,9,1), B93&lt;=DATE(2025,9,30)), AQ93/DDashboard!$C$10,AND(B93&gt;=DATE(2025,10,1), B93&lt;=DATE(2025,10,31)), AQ93/DDashboard!$C$11,AND(B93&gt;=DATE(2025,11,1), B93&lt;=DATE(2025,11,30)), AQ93/DDashboard!$C$12, AND(B93&gt;=DATE(2025,12,1), B93&lt;=DATE(2025,12,31)), AQ93/DDashboard!$C$13, True, "")
</f>
        <v/>
      </c>
      <c r="AS93" s="200" t="str">
        <f t="array" ref="AS93">IF(ISBLANK(C93), "", SUM($AR$9:AR93)
)</f>
        <v/>
      </c>
      <c r="AT93" s="169" t="b">
        <v>0</v>
      </c>
      <c r="AU93" s="169"/>
      <c r="AV93" s="169"/>
      <c r="AW93" s="169"/>
      <c r="AX93" s="383"/>
    </row>
    <row r="94">
      <c r="A94" s="388">
        <v>93.0</v>
      </c>
      <c r="B94" s="184"/>
      <c r="C94" s="185"/>
      <c r="D94" s="400"/>
      <c r="E94" s="404"/>
      <c r="F94" s="188"/>
      <c r="G94" s="397" t="str">
        <f t="shared" si="1"/>
        <v/>
      </c>
      <c r="H94" s="402"/>
      <c r="I94" s="402"/>
      <c r="J94" s="187"/>
      <c r="K94" s="145" t="str">
        <f>IFERROR(__xludf.DUMMYFUNCTION("IF(ISBLANK(C94), """", GOOGLEFINANCE(""NSE:"" &amp; C94,""price""))"),"")</f>
        <v/>
      </c>
      <c r="L94" s="213"/>
      <c r="M94" s="193"/>
      <c r="N94" s="194"/>
      <c r="O94" s="205"/>
      <c r="P94" s="228"/>
      <c r="Q94" s="370"/>
      <c r="R94" s="198"/>
      <c r="S94" s="196"/>
      <c r="T94" s="376"/>
      <c r="U94" s="199" t="str">
        <f t="shared" si="23"/>
        <v/>
      </c>
      <c r="V94" s="200" t="str">
        <f>IFS(AND(B94&gt;=DATE(2025,1,1), B94&lt;=DATE(2025,1,31)), U94/DDashboard!$C$2, AND(B94&gt;=DATE(2025,2,1), B94&lt;=DATE(2025,2,28)), U94/DDashboard!$C$3, AND(B94&gt;=DATE(2025,3,1), B94&lt;=DATE(2025,3,31)), U94/DDashboard!$C$4, AND(B94&gt;=DATE(2025,4,1), B94&lt;=DATE(2025,4,30)), U94/DDashboard!$C$5,AND(B94&gt;=DATE(2025,5,1), B94&lt;=DATE(2025,5,31)), U94/DDashboard!$C$6,AND(B94&gt;=DATE(2025,6,1), B94&lt;=DATE(2025,6,30)), U94/DDashboard!$C$7,AND(B94&gt;=DATE(2025,7,1), B94&lt;=DATE(2025,7,31)), U94/DDashboard!$C$8,AND(B94&gt;=DATE(2025,8,1), B94&lt;=DATE(2025,8,31)), U94/DDashboard!$C$9,AND(B94&gt;=DATE(2025,9,1), B94&lt;=DATE(2025,9,30)), U94/DDashboard!$C$10,AND(B94&gt;=DATE(2025,10,1), B94&lt;=DATE(2025,10,31)), U94/DDashboard!$C$11,AND(B94&gt;=DATE(2025,11,1), B94&lt;=DATE(2025,11,30)), U94/DDashboard!$C$12, AND(B94&gt;=DATE(2025,12,1), B94&lt;=DATE(2025,12,31)), U94/DDashboard!$C$13, True, "")
</f>
        <v/>
      </c>
      <c r="W94" s="201" t="str">
        <f t="shared" si="3"/>
        <v/>
      </c>
      <c r="X94" s="202"/>
      <c r="Y94" s="203"/>
      <c r="Z94" s="391"/>
      <c r="AA94" s="198"/>
      <c r="AB94" s="222"/>
      <c r="AC94" s="223"/>
      <c r="AD94" s="195"/>
      <c r="AE94" s="222"/>
      <c r="AF94" s="223"/>
      <c r="AG94" s="206" t="str">
        <f t="shared" si="4"/>
        <v/>
      </c>
      <c r="AH94" s="385" t="str">
        <f t="shared" si="5"/>
        <v/>
      </c>
      <c r="AI94" s="207" t="str">
        <f t="shared" si="24"/>
        <v/>
      </c>
      <c r="AJ94" s="367" t="str">
        <f t="shared" si="7"/>
        <v/>
      </c>
      <c r="AK94" s="208" t="str">
        <f t="shared" si="25"/>
        <v/>
      </c>
      <c r="AL94" s="207" t="str">
        <f t="shared" si="22"/>
        <v/>
      </c>
      <c r="AM94" s="209" t="str">
        <f>IF(AN94="", "", IF(AN94="Closed", 
    IF(ISNUMBER(AF94), AF94-B94,
        IF(ISNUMBER(AC94), AC94-B94,
            IF(ISNUMBER(Z94), Z94-B94, "")
        )
    ), 
    TODAY()-B94))</f>
        <v/>
      </c>
      <c r="AN94" s="386" t="str">
        <f t="shared" si="11"/>
        <v/>
      </c>
      <c r="AO94" s="366" t="str">
        <f t="shared" si="12"/>
        <v/>
      </c>
      <c r="AP94" s="210" t="str">
        <f t="shared" si="13"/>
        <v/>
      </c>
      <c r="AQ94" s="196" t="str">
        <f t="shared" si="26"/>
        <v/>
      </c>
      <c r="AR94" s="168" t="str">
        <f>IFS(AND(B94&gt;=DATE(2025,1,1), B94&lt;=DATE(2025,1,31)), AQ94/DDashboard!$C$2, AND(B94&gt;=DATE(2025,2,1), B94&lt;=DATE(2025,2,28)), AQ94/DDashboard!$C$3, AND(B94&gt;=DATE(2025,3,1), B94&lt;=DATE(2025,3,31)), AQ94/DDashboard!$C$4, AND(B94&gt;=DATE(2025,4,1), B94&lt;=DATE(2025,4,30)), AQ94/DDashboard!$C$5,AND(B94&gt;=DATE(2025,5,1), B94&lt;=DATE(2025,5,31)), AQ94/DDashboard!$C$6,AND(B94&gt;=DATE(2025,6,1), B94&lt;=DATE(2025,6,30)), AQ94/DDashboard!$C$7,AND(B94&gt;=DATE(2025,7,1), B94&lt;=DATE(2025,7,31)), AQ94/DDashboard!$C$8,AND(B94&gt;=DATE(2025,8,1), B94&lt;=DATE(2025,8,31)), AQ94/DDashboard!$C$9,AND(B94&gt;=DATE(2025,9,1), B94&lt;=DATE(2025,9,30)), AQ94/DDashboard!$C$10,AND(B94&gt;=DATE(2025,10,1), B94&lt;=DATE(2025,10,31)), AQ94/DDashboard!$C$11,AND(B94&gt;=DATE(2025,11,1), B94&lt;=DATE(2025,11,30)), AQ94/DDashboard!$C$12, AND(B94&gt;=DATE(2025,12,1), B94&lt;=DATE(2025,12,31)), AQ94/DDashboard!$C$13, True, "")
</f>
        <v/>
      </c>
      <c r="AS94" s="200" t="str">
        <f t="array" ref="AS94">IF(ISBLANK(C94), "", SUM($AR$9:AR94)
)</f>
        <v/>
      </c>
      <c r="AT94" s="169" t="b">
        <v>0</v>
      </c>
      <c r="AU94" s="169"/>
      <c r="AV94" s="169"/>
      <c r="AW94" s="169"/>
      <c r="AX94" s="387"/>
    </row>
    <row r="95">
      <c r="A95" s="389">
        <v>94.0</v>
      </c>
      <c r="B95" s="138"/>
      <c r="C95" s="139"/>
      <c r="D95" s="401"/>
      <c r="E95" s="403"/>
      <c r="F95" s="142"/>
      <c r="G95" s="398" t="str">
        <f t="shared" si="1"/>
        <v/>
      </c>
      <c r="H95" s="399"/>
      <c r="I95" s="399"/>
      <c r="J95" s="141"/>
      <c r="K95" s="145" t="str">
        <f>IFERROR(__xludf.DUMMYFUNCTION("IF(ISBLANK(C95), """", GOOGLEFINANCE(""NSE:"" &amp; C95,""price""))"),"")</f>
        <v/>
      </c>
      <c r="L95" s="146"/>
      <c r="M95" s="147"/>
      <c r="N95" s="148"/>
      <c r="O95" s="225"/>
      <c r="P95" s="226"/>
      <c r="Q95" s="368"/>
      <c r="R95" s="152"/>
      <c r="S95" s="150"/>
      <c r="T95" s="377"/>
      <c r="U95" s="153" t="str">
        <f t="shared" si="23"/>
        <v/>
      </c>
      <c r="V95" s="154" t="str">
        <f>IFS(AND(B95&gt;=DATE(2025,1,1), B95&lt;=DATE(2025,1,31)), U95/DDashboard!$C$2, AND(B95&gt;=DATE(2025,2,1), B95&lt;=DATE(2025,2,28)), U95/DDashboard!$C$3, AND(B95&gt;=DATE(2025,3,1), B95&lt;=DATE(2025,3,31)), U95/DDashboard!$C$4, AND(B95&gt;=DATE(2025,4,1), B95&lt;=DATE(2025,4,30)), U95/DDashboard!$C$5,AND(B95&gt;=DATE(2025,5,1), B95&lt;=DATE(2025,5,31)), U95/DDashboard!$C$6,AND(B95&gt;=DATE(2025,6,1), B95&lt;=DATE(2025,6,30)), U95/DDashboard!$C$7,AND(B95&gt;=DATE(2025,7,1), B95&lt;=DATE(2025,7,31)), U95/DDashboard!$C$8,AND(B95&gt;=DATE(2025,8,1), B95&lt;=DATE(2025,8,31)), U95/DDashboard!$C$9,AND(B95&gt;=DATE(2025,9,1), B95&lt;=DATE(2025,9,30)), U95/DDashboard!$C$10,AND(B95&gt;=DATE(2025,10,1), B95&lt;=DATE(2025,10,31)), U95/DDashboard!$C$11,AND(B95&gt;=DATE(2025,11,1), B95&lt;=DATE(2025,11,30)), U95/DDashboard!$C$12, AND(B95&gt;=DATE(2025,12,1), B95&lt;=DATE(2025,12,31)), U95/DDashboard!$C$13, True, "")
</f>
        <v/>
      </c>
      <c r="W95" s="65" t="str">
        <f t="shared" si="3"/>
        <v/>
      </c>
      <c r="X95" s="155"/>
      <c r="Y95" s="156"/>
      <c r="Z95" s="392"/>
      <c r="AA95" s="390"/>
      <c r="AB95" s="359"/>
      <c r="AC95" s="360"/>
      <c r="AD95" s="358"/>
      <c r="AE95" s="359"/>
      <c r="AF95" s="360"/>
      <c r="AG95" s="160" t="str">
        <f t="shared" si="4"/>
        <v/>
      </c>
      <c r="AH95" s="393" t="str">
        <f t="shared" si="5"/>
        <v/>
      </c>
      <c r="AI95" s="161" t="str">
        <f t="shared" si="24"/>
        <v/>
      </c>
      <c r="AJ95" s="365" t="str">
        <f t="shared" si="7"/>
        <v/>
      </c>
      <c r="AK95" s="162" t="str">
        <f t="shared" si="25"/>
        <v/>
      </c>
      <c r="AL95" s="161" t="str">
        <f t="shared" si="22"/>
        <v/>
      </c>
      <c r="AM95" s="163" t="str">
        <f>IF(AN95="", "", IF(AN95="Closed", IF(ISNUMBER(AF95), AF95-B95,IF(ISNUMBER(AC95), AC95-B95,IF(ISNUMBER(Z95), Z95-B95, ""))), TODAY()-B95))
</f>
        <v/>
      </c>
      <c r="AN95" s="381" t="str">
        <f t="shared" si="11"/>
        <v/>
      </c>
      <c r="AO95" s="366" t="str">
        <f t="shared" si="12"/>
        <v/>
      </c>
      <c r="AP95" s="166" t="str">
        <f t="shared" si="13"/>
        <v/>
      </c>
      <c r="AQ95" s="167" t="str">
        <f t="shared" si="26"/>
        <v/>
      </c>
      <c r="AR95" s="168" t="str">
        <f>IFS(AND(B95&gt;=DATE(2025,1,1), B95&lt;=DATE(2025,1,31)), AQ95/DDashboard!$C$2, AND(B95&gt;=DATE(2025,2,1), B95&lt;=DATE(2025,2,28)), AQ95/DDashboard!$C$3, AND(B95&gt;=DATE(2025,3,1), B95&lt;=DATE(2025,3,31)), AQ95/DDashboard!$C$4, AND(B95&gt;=DATE(2025,4,1), B95&lt;=DATE(2025,4,30)), AQ95/DDashboard!$C$5,AND(B95&gt;=DATE(2025,5,1), B95&lt;=DATE(2025,5,31)), AQ95/DDashboard!$C$6,AND(B95&gt;=DATE(2025,6,1), B95&lt;=DATE(2025,6,30)), AQ95/DDashboard!$C$7,AND(B95&gt;=DATE(2025,7,1), B95&lt;=DATE(2025,7,31)), AQ95/DDashboard!$C$8,AND(B95&gt;=DATE(2025,8,1), B95&lt;=DATE(2025,8,31)), AQ95/DDashboard!$C$9,AND(B95&gt;=DATE(2025,9,1), B95&lt;=DATE(2025,9,30)), AQ95/DDashboard!$C$10,AND(B95&gt;=DATE(2025,10,1), B95&lt;=DATE(2025,10,31)), AQ95/DDashboard!$C$11,AND(B95&gt;=DATE(2025,11,1), B95&lt;=DATE(2025,11,30)), AQ95/DDashboard!$C$12, AND(B95&gt;=DATE(2025,12,1), B95&lt;=DATE(2025,12,31)), AQ95/DDashboard!$C$13, True, "")
</f>
        <v/>
      </c>
      <c r="AS95" s="200" t="str">
        <f t="array" ref="AS95">IF(ISBLANK(C95), "", SUM($AR$9:AR95)
)</f>
        <v/>
      </c>
      <c r="AT95" s="169" t="b">
        <v>0</v>
      </c>
      <c r="AU95" s="169"/>
      <c r="AV95" s="169"/>
      <c r="AW95" s="169"/>
      <c r="AX95" s="383"/>
    </row>
    <row r="96">
      <c r="A96" s="388">
        <v>95.0</v>
      </c>
      <c r="B96" s="184"/>
      <c r="C96" s="185"/>
      <c r="D96" s="400"/>
      <c r="E96" s="187"/>
      <c r="F96" s="188"/>
      <c r="G96" s="397" t="str">
        <f t="shared" si="1"/>
        <v/>
      </c>
      <c r="H96" s="402"/>
      <c r="I96" s="402"/>
      <c r="J96" s="187"/>
      <c r="K96" s="145" t="str">
        <f>IFERROR(__xludf.DUMMYFUNCTION("IF(ISBLANK(C96), """", GOOGLEFINANCE(""NSE:"" &amp; C96,""price""))"),"")</f>
        <v/>
      </c>
      <c r="L96" s="213"/>
      <c r="M96" s="193"/>
      <c r="N96" s="194"/>
      <c r="O96" s="195"/>
      <c r="P96" s="196"/>
      <c r="Q96" s="376"/>
      <c r="R96" s="198"/>
      <c r="S96" s="196"/>
      <c r="T96" s="376"/>
      <c r="U96" s="199" t="str">
        <f t="shared" si="23"/>
        <v/>
      </c>
      <c r="V96" s="200" t="str">
        <f>IFS(AND(B96&gt;=DATE(2025,1,1), B96&lt;=DATE(2025,1,31)), U96/DDashboard!$C$2, AND(B96&gt;=DATE(2025,2,1), B96&lt;=DATE(2025,2,28)), U96/DDashboard!$C$3, AND(B96&gt;=DATE(2025,3,1), B96&lt;=DATE(2025,3,31)), U96/DDashboard!$C$4, AND(B96&gt;=DATE(2025,4,1), B96&lt;=DATE(2025,4,30)), U96/DDashboard!$C$5,AND(B96&gt;=DATE(2025,5,1), B96&lt;=DATE(2025,5,31)), U96/DDashboard!$C$6,AND(B96&gt;=DATE(2025,6,1), B96&lt;=DATE(2025,6,30)), U96/DDashboard!$C$7,AND(B96&gt;=DATE(2025,7,1), B96&lt;=DATE(2025,7,31)), U96/DDashboard!$C$8,AND(B96&gt;=DATE(2025,8,1), B96&lt;=DATE(2025,8,31)), U96/DDashboard!$C$9,AND(B96&gt;=DATE(2025,9,1), B96&lt;=DATE(2025,9,30)), U96/DDashboard!$C$10,AND(B96&gt;=DATE(2025,10,1), B96&lt;=DATE(2025,10,31)), U96/DDashboard!$C$11,AND(B96&gt;=DATE(2025,11,1), B96&lt;=DATE(2025,11,30)), U96/DDashboard!$C$12, AND(B96&gt;=DATE(2025,12,1), B96&lt;=DATE(2025,12,31)), U96/DDashboard!$C$13, True, "")
</f>
        <v/>
      </c>
      <c r="W96" s="201" t="str">
        <f t="shared" si="3"/>
        <v/>
      </c>
      <c r="X96" s="202"/>
      <c r="Y96" s="203"/>
      <c r="Z96" s="391"/>
      <c r="AA96" s="198"/>
      <c r="AB96" s="222"/>
      <c r="AC96" s="223"/>
      <c r="AD96" s="195"/>
      <c r="AE96" s="222"/>
      <c r="AF96" s="223"/>
      <c r="AG96" s="206" t="str">
        <f t="shared" si="4"/>
        <v/>
      </c>
      <c r="AH96" s="385" t="str">
        <f t="shared" si="5"/>
        <v/>
      </c>
      <c r="AI96" s="207" t="str">
        <f t="shared" si="24"/>
        <v/>
      </c>
      <c r="AJ96" s="367" t="str">
        <f t="shared" si="7"/>
        <v/>
      </c>
      <c r="AK96" s="208" t="str">
        <f t="shared" si="25"/>
        <v/>
      </c>
      <c r="AL96" s="207" t="str">
        <f t="shared" si="22"/>
        <v/>
      </c>
      <c r="AM96" s="209" t="str">
        <f>IF(AN96="", "", IF(AN96="Closed", 
    IF(ISNUMBER(AF96), AF96-B96,
        IF(ISNUMBER(AC96), AC96-B96,
            IF(ISNUMBER(Z96), Z96-B96, "")
        )
    ), 
    TODAY()-B96))</f>
        <v/>
      </c>
      <c r="AN96" s="386" t="str">
        <f t="shared" si="11"/>
        <v/>
      </c>
      <c r="AO96" s="366" t="str">
        <f t="shared" si="12"/>
        <v/>
      </c>
      <c r="AP96" s="210" t="str">
        <f t="shared" si="13"/>
        <v/>
      </c>
      <c r="AQ96" s="196" t="str">
        <f t="shared" si="26"/>
        <v/>
      </c>
      <c r="AR96" s="168" t="str">
        <f>IFS(AND(B96&gt;=DATE(2025,1,1), B96&lt;=DATE(2025,1,31)), AQ96/DDashboard!$C$2, AND(B96&gt;=DATE(2025,2,1), B96&lt;=DATE(2025,2,28)), AQ96/DDashboard!$C$3, AND(B96&gt;=DATE(2025,3,1), B96&lt;=DATE(2025,3,31)), AQ96/DDashboard!$C$4, AND(B96&gt;=DATE(2025,4,1), B96&lt;=DATE(2025,4,30)), AQ96/DDashboard!$C$5,AND(B96&gt;=DATE(2025,5,1), B96&lt;=DATE(2025,5,31)), AQ96/DDashboard!$C$6,AND(B96&gt;=DATE(2025,6,1), B96&lt;=DATE(2025,6,30)), AQ96/DDashboard!$C$7,AND(B96&gt;=DATE(2025,7,1), B96&lt;=DATE(2025,7,31)), AQ96/DDashboard!$C$8,AND(B96&gt;=DATE(2025,8,1), B96&lt;=DATE(2025,8,31)), AQ96/DDashboard!$C$9,AND(B96&gt;=DATE(2025,9,1), B96&lt;=DATE(2025,9,30)), AQ96/DDashboard!$C$10,AND(B96&gt;=DATE(2025,10,1), B96&lt;=DATE(2025,10,31)), AQ96/DDashboard!$C$11,AND(B96&gt;=DATE(2025,11,1), B96&lt;=DATE(2025,11,30)), AQ96/DDashboard!$C$12, AND(B96&gt;=DATE(2025,12,1), B96&lt;=DATE(2025,12,31)), AQ96/DDashboard!$C$13, True, "")
</f>
        <v/>
      </c>
      <c r="AS96" s="200" t="str">
        <f t="array" ref="AS96">IF(ISBLANK(C96), "", SUM($AR$9:AR96)
)</f>
        <v/>
      </c>
      <c r="AT96" s="169" t="b">
        <v>0</v>
      </c>
      <c r="AU96" s="169"/>
      <c r="AV96" s="169"/>
      <c r="AW96" s="169"/>
      <c r="AX96" s="32"/>
    </row>
    <row r="97">
      <c r="A97" s="389">
        <v>96.0</v>
      </c>
      <c r="B97" s="138"/>
      <c r="C97" s="139"/>
      <c r="D97" s="401"/>
      <c r="E97" s="141"/>
      <c r="F97" s="142"/>
      <c r="G97" s="398" t="str">
        <f t="shared" si="1"/>
        <v/>
      </c>
      <c r="H97" s="399"/>
      <c r="I97" s="399"/>
      <c r="J97" s="141"/>
      <c r="K97" s="145" t="str">
        <f>IFERROR(__xludf.DUMMYFUNCTION("IF(ISBLANK(C97), """", GOOGLEFINANCE(""NSE:"" &amp; C97,""price""))"),"")</f>
        <v/>
      </c>
      <c r="L97" s="146"/>
      <c r="M97" s="147"/>
      <c r="N97" s="148"/>
      <c r="O97" s="149"/>
      <c r="P97" s="150"/>
      <c r="Q97" s="377"/>
      <c r="R97" s="152"/>
      <c r="S97" s="150"/>
      <c r="T97" s="377"/>
      <c r="U97" s="153" t="str">
        <f t="shared" si="23"/>
        <v/>
      </c>
      <c r="V97" s="154" t="str">
        <f>IFS(AND(B97&gt;=DATE(2025,1,1), B97&lt;=DATE(2025,1,31)), U97/DDashboard!$C$2, AND(B97&gt;=DATE(2025,2,1), B97&lt;=DATE(2025,2,28)), U97/DDashboard!$C$3, AND(B97&gt;=DATE(2025,3,1), B97&lt;=DATE(2025,3,31)), U97/DDashboard!$C$4, AND(B97&gt;=DATE(2025,4,1), B97&lt;=DATE(2025,4,30)), U97/DDashboard!$C$5,AND(B97&gt;=DATE(2025,5,1), B97&lt;=DATE(2025,5,31)), U97/DDashboard!$C$6,AND(B97&gt;=DATE(2025,6,1), B97&lt;=DATE(2025,6,30)), U97/DDashboard!$C$7,AND(B97&gt;=DATE(2025,7,1), B97&lt;=DATE(2025,7,31)), U97/DDashboard!$C$8,AND(B97&gt;=DATE(2025,8,1), B97&lt;=DATE(2025,8,31)), U97/DDashboard!$C$9,AND(B97&gt;=DATE(2025,9,1), B97&lt;=DATE(2025,9,30)), U97/DDashboard!$C$10,AND(B97&gt;=DATE(2025,10,1), B97&lt;=DATE(2025,10,31)), U97/DDashboard!$C$11,AND(B97&gt;=DATE(2025,11,1), B97&lt;=DATE(2025,11,30)), U97/DDashboard!$C$12, AND(B97&gt;=DATE(2025,12,1), B97&lt;=DATE(2025,12,31)), U97/DDashboard!$C$13, True, "")
</f>
        <v/>
      </c>
      <c r="W97" s="65" t="str">
        <f t="shared" si="3"/>
        <v/>
      </c>
      <c r="X97" s="155"/>
      <c r="Y97" s="156"/>
      <c r="Z97" s="392"/>
      <c r="AA97" s="390"/>
      <c r="AB97" s="359"/>
      <c r="AC97" s="360"/>
      <c r="AD97" s="358"/>
      <c r="AE97" s="359"/>
      <c r="AF97" s="360"/>
      <c r="AG97" s="160" t="str">
        <f t="shared" si="4"/>
        <v/>
      </c>
      <c r="AH97" s="393" t="str">
        <f t="shared" si="5"/>
        <v/>
      </c>
      <c r="AI97" s="161" t="str">
        <f t="shared" si="24"/>
        <v/>
      </c>
      <c r="AJ97" s="365" t="str">
        <f t="shared" si="7"/>
        <v/>
      </c>
      <c r="AK97" s="162" t="str">
        <f t="shared" si="25"/>
        <v/>
      </c>
      <c r="AL97" s="161" t="str">
        <f t="shared" si="22"/>
        <v/>
      </c>
      <c r="AM97" s="163" t="str">
        <f>IF(AN97="", "", IF(AN97="Closed", IF(ISNUMBER(AF97), AF97-B97,IF(ISNUMBER(AC97), AC97-B97,IF(ISNUMBER(Z97), Z97-B97, ""))), TODAY()-B97))
</f>
        <v/>
      </c>
      <c r="AN97" s="381" t="str">
        <f t="shared" si="11"/>
        <v/>
      </c>
      <c r="AO97" s="366" t="str">
        <f t="shared" si="12"/>
        <v/>
      </c>
      <c r="AP97" s="166" t="str">
        <f t="shared" si="13"/>
        <v/>
      </c>
      <c r="AQ97" s="167" t="str">
        <f t="shared" si="26"/>
        <v/>
      </c>
      <c r="AR97" s="168" t="str">
        <f>IFS(AND(B97&gt;=DATE(2025,1,1), B97&lt;=DATE(2025,1,31)), AQ97/DDashboard!$C$2, AND(B97&gt;=DATE(2025,2,1), B97&lt;=DATE(2025,2,28)), AQ97/DDashboard!$C$3, AND(B97&gt;=DATE(2025,3,1), B97&lt;=DATE(2025,3,31)), AQ97/DDashboard!$C$4, AND(B97&gt;=DATE(2025,4,1), B97&lt;=DATE(2025,4,30)), AQ97/DDashboard!$C$5,AND(B97&gt;=DATE(2025,5,1), B97&lt;=DATE(2025,5,31)), AQ97/DDashboard!$C$6,AND(B97&gt;=DATE(2025,6,1), B97&lt;=DATE(2025,6,30)), AQ97/DDashboard!$C$7,AND(B97&gt;=DATE(2025,7,1), B97&lt;=DATE(2025,7,31)), AQ97/DDashboard!$C$8,AND(B97&gt;=DATE(2025,8,1), B97&lt;=DATE(2025,8,31)), AQ97/DDashboard!$C$9,AND(B97&gt;=DATE(2025,9,1), B97&lt;=DATE(2025,9,30)), AQ97/DDashboard!$C$10,AND(B97&gt;=DATE(2025,10,1), B97&lt;=DATE(2025,10,31)), AQ97/DDashboard!$C$11,AND(B97&gt;=DATE(2025,11,1), B97&lt;=DATE(2025,11,30)), AQ97/DDashboard!$C$12, AND(B97&gt;=DATE(2025,12,1), B97&lt;=DATE(2025,12,31)), AQ97/DDashboard!$C$13, True, "")
</f>
        <v/>
      </c>
      <c r="AS97" s="200" t="str">
        <f t="array" ref="AS97">IF(ISBLANK(C97), "", SUM($AR$9:AR97)
)</f>
        <v/>
      </c>
      <c r="AT97" s="169" t="b">
        <v>0</v>
      </c>
      <c r="AU97" s="169"/>
      <c r="AV97" s="169"/>
      <c r="AW97" s="169"/>
      <c r="AX97" s="383"/>
    </row>
    <row r="98">
      <c r="A98" s="388">
        <v>97.0</v>
      </c>
      <c r="B98" s="184"/>
      <c r="C98" s="185"/>
      <c r="D98" s="400"/>
      <c r="E98" s="187"/>
      <c r="F98" s="188"/>
      <c r="G98" s="397" t="str">
        <f t="shared" si="1"/>
        <v/>
      </c>
      <c r="H98" s="402"/>
      <c r="I98" s="402"/>
      <c r="J98" s="187"/>
      <c r="K98" s="145" t="str">
        <f>IFERROR(__xludf.DUMMYFUNCTION("IF(ISBLANK(C98), """", GOOGLEFINANCE(""NSE:"" &amp; C98,""price""))"),"")</f>
        <v/>
      </c>
      <c r="L98" s="213"/>
      <c r="M98" s="193"/>
      <c r="N98" s="194"/>
      <c r="O98" s="195"/>
      <c r="P98" s="196"/>
      <c r="Q98" s="376"/>
      <c r="R98" s="198"/>
      <c r="S98" s="196"/>
      <c r="T98" s="376"/>
      <c r="U98" s="199" t="str">
        <f t="shared" si="23"/>
        <v/>
      </c>
      <c r="V98" s="200" t="str">
        <f>IFS(AND(B98&gt;=DATE(2025,1,1), B98&lt;=DATE(2025,1,31)), U98/DDashboard!$C$2, AND(B98&gt;=DATE(2025,2,1), B98&lt;=DATE(2025,2,28)), U98/DDashboard!$C$3, AND(B98&gt;=DATE(2025,3,1), B98&lt;=DATE(2025,3,31)), U98/DDashboard!$C$4, AND(B98&gt;=DATE(2025,4,1), B98&lt;=DATE(2025,4,30)), U98/DDashboard!$C$5,AND(B98&gt;=DATE(2025,5,1), B98&lt;=DATE(2025,5,31)), U98/DDashboard!$C$6,AND(B98&gt;=DATE(2025,6,1), B98&lt;=DATE(2025,6,30)), U98/DDashboard!$C$7,AND(B98&gt;=DATE(2025,7,1), B98&lt;=DATE(2025,7,31)), U98/DDashboard!$C$8,AND(B98&gt;=DATE(2025,8,1), B98&lt;=DATE(2025,8,31)), U98/DDashboard!$C$9,AND(B98&gt;=DATE(2025,9,1), B98&lt;=DATE(2025,9,30)), U98/DDashboard!$C$10,AND(B98&gt;=DATE(2025,10,1), B98&lt;=DATE(2025,10,31)), U98/DDashboard!$C$11,AND(B98&gt;=DATE(2025,11,1), B98&lt;=DATE(2025,11,30)), U98/DDashboard!$C$12, AND(B98&gt;=DATE(2025,12,1), B98&lt;=DATE(2025,12,31)), U98/DDashboard!$C$13, True, "")
</f>
        <v/>
      </c>
      <c r="W98" s="201" t="str">
        <f t="shared" si="3"/>
        <v/>
      </c>
      <c r="X98" s="202"/>
      <c r="Y98" s="203"/>
      <c r="Z98" s="391"/>
      <c r="AA98" s="198"/>
      <c r="AB98" s="222"/>
      <c r="AC98" s="223"/>
      <c r="AD98" s="195"/>
      <c r="AE98" s="222"/>
      <c r="AF98" s="223"/>
      <c r="AG98" s="206" t="str">
        <f t="shared" si="4"/>
        <v/>
      </c>
      <c r="AH98" s="385" t="str">
        <f t="shared" si="5"/>
        <v/>
      </c>
      <c r="AI98" s="207" t="str">
        <f t="shared" si="24"/>
        <v/>
      </c>
      <c r="AJ98" s="367" t="str">
        <f t="shared" si="7"/>
        <v/>
      </c>
      <c r="AK98" s="208" t="str">
        <f t="shared" si="25"/>
        <v/>
      </c>
      <c r="AL98" s="207" t="str">
        <f t="shared" si="22"/>
        <v/>
      </c>
      <c r="AM98" s="209" t="str">
        <f>IF(AN98="", "", IF(AN98="Closed", 
    IF(ISNUMBER(AF98), AF98-B98,
        IF(ISNUMBER(AC98), AC98-B98,
            IF(ISNUMBER(Z98), Z98-B98, "")
        )
    ), 
    TODAY()-B98))</f>
        <v/>
      </c>
      <c r="AN98" s="386" t="str">
        <f t="shared" si="11"/>
        <v/>
      </c>
      <c r="AO98" s="366" t="str">
        <f t="shared" si="12"/>
        <v/>
      </c>
      <c r="AP98" s="210" t="str">
        <f t="shared" si="13"/>
        <v/>
      </c>
      <c r="AQ98" s="196" t="str">
        <f t="shared" si="26"/>
        <v/>
      </c>
      <c r="AR98" s="168" t="str">
        <f>IFS(AND(B98&gt;=DATE(2025,1,1), B98&lt;=DATE(2025,1,31)), AQ98/DDashboard!$C$2, AND(B98&gt;=DATE(2025,2,1), B98&lt;=DATE(2025,2,28)), AQ98/DDashboard!$C$3, AND(B98&gt;=DATE(2025,3,1), B98&lt;=DATE(2025,3,31)), AQ98/DDashboard!$C$4, AND(B98&gt;=DATE(2025,4,1), B98&lt;=DATE(2025,4,30)), AQ98/DDashboard!$C$5,AND(B98&gt;=DATE(2025,5,1), B98&lt;=DATE(2025,5,31)), AQ98/DDashboard!$C$6,AND(B98&gt;=DATE(2025,6,1), B98&lt;=DATE(2025,6,30)), AQ98/DDashboard!$C$7,AND(B98&gt;=DATE(2025,7,1), B98&lt;=DATE(2025,7,31)), AQ98/DDashboard!$C$8,AND(B98&gt;=DATE(2025,8,1), B98&lt;=DATE(2025,8,31)), AQ98/DDashboard!$C$9,AND(B98&gt;=DATE(2025,9,1), B98&lt;=DATE(2025,9,30)), AQ98/DDashboard!$C$10,AND(B98&gt;=DATE(2025,10,1), B98&lt;=DATE(2025,10,31)), AQ98/DDashboard!$C$11,AND(B98&gt;=DATE(2025,11,1), B98&lt;=DATE(2025,11,30)), AQ98/DDashboard!$C$12, AND(B98&gt;=DATE(2025,12,1), B98&lt;=DATE(2025,12,31)), AQ98/DDashboard!$C$13, True, "")
</f>
        <v/>
      </c>
      <c r="AS98" s="200" t="str">
        <f t="array" ref="AS98">IF(ISBLANK(C98), "", SUM($AR$9:AR98)
)</f>
        <v/>
      </c>
      <c r="AT98" s="169" t="b">
        <v>0</v>
      </c>
      <c r="AU98" s="169"/>
      <c r="AV98" s="169"/>
      <c r="AW98" s="169"/>
      <c r="AX98" s="32"/>
    </row>
    <row r="99">
      <c r="A99" s="389">
        <v>98.0</v>
      </c>
      <c r="B99" s="138"/>
      <c r="C99" s="139"/>
      <c r="D99" s="401"/>
      <c r="E99" s="141"/>
      <c r="F99" s="142"/>
      <c r="G99" s="398" t="str">
        <f t="shared" si="1"/>
        <v/>
      </c>
      <c r="H99" s="399"/>
      <c r="I99" s="399"/>
      <c r="J99" s="141"/>
      <c r="K99" s="145" t="str">
        <f>IFERROR(__xludf.DUMMYFUNCTION("IF(ISBLANK(C99), """", GOOGLEFINANCE(""NSE:"" &amp; C99,""price""))"),"")</f>
        <v/>
      </c>
      <c r="L99" s="146"/>
      <c r="M99" s="147"/>
      <c r="N99" s="148"/>
      <c r="O99" s="149"/>
      <c r="P99" s="150"/>
      <c r="Q99" s="377"/>
      <c r="R99" s="152"/>
      <c r="S99" s="150"/>
      <c r="T99" s="377"/>
      <c r="U99" s="153" t="str">
        <f t="shared" si="23"/>
        <v/>
      </c>
      <c r="V99" s="154" t="str">
        <f>IFS(AND(B99&gt;=DATE(2025,1,1), B99&lt;=DATE(2025,1,31)), U99/DDashboard!$C$2, AND(B99&gt;=DATE(2025,2,1), B99&lt;=DATE(2025,2,28)), U99/DDashboard!$C$3, AND(B99&gt;=DATE(2025,3,1), B99&lt;=DATE(2025,3,31)), U99/DDashboard!$C$4, AND(B99&gt;=DATE(2025,4,1), B99&lt;=DATE(2025,4,30)), U99/DDashboard!$C$5,AND(B99&gt;=DATE(2025,5,1), B99&lt;=DATE(2025,5,31)), U99/DDashboard!$C$6,AND(B99&gt;=DATE(2025,6,1), B99&lt;=DATE(2025,6,30)), U99/DDashboard!$C$7,AND(B99&gt;=DATE(2025,7,1), B99&lt;=DATE(2025,7,31)), U99/DDashboard!$C$8,AND(B99&gt;=DATE(2025,8,1), B99&lt;=DATE(2025,8,31)), U99/DDashboard!$C$9,AND(B99&gt;=DATE(2025,9,1), B99&lt;=DATE(2025,9,30)), U99/DDashboard!$C$10,AND(B99&gt;=DATE(2025,10,1), B99&lt;=DATE(2025,10,31)), U99/DDashboard!$C$11,AND(B99&gt;=DATE(2025,11,1), B99&lt;=DATE(2025,11,30)), U99/DDashboard!$C$12, AND(B99&gt;=DATE(2025,12,1), B99&lt;=DATE(2025,12,31)), U99/DDashboard!$C$13, True, "")
</f>
        <v/>
      </c>
      <c r="W99" s="65" t="str">
        <f t="shared" si="3"/>
        <v/>
      </c>
      <c r="X99" s="155"/>
      <c r="Y99" s="156"/>
      <c r="Z99" s="392"/>
      <c r="AA99" s="390"/>
      <c r="AB99" s="359"/>
      <c r="AC99" s="360"/>
      <c r="AD99" s="358"/>
      <c r="AE99" s="359"/>
      <c r="AF99" s="360"/>
      <c r="AG99" s="160" t="str">
        <f t="shared" si="4"/>
        <v/>
      </c>
      <c r="AH99" s="393" t="str">
        <f t="shared" si="5"/>
        <v/>
      </c>
      <c r="AI99" s="161" t="str">
        <f t="shared" si="24"/>
        <v/>
      </c>
      <c r="AJ99" s="365" t="str">
        <f t="shared" si="7"/>
        <v/>
      </c>
      <c r="AK99" s="162" t="str">
        <f t="shared" si="25"/>
        <v/>
      </c>
      <c r="AL99" s="161" t="str">
        <f t="shared" si="22"/>
        <v/>
      </c>
      <c r="AM99" s="163" t="str">
        <f>IF(AN99="", "", IF(AN99="Closed", IF(ISNUMBER(AF99), AF99-B99,IF(ISNUMBER(AC99), AC99-B99,IF(ISNUMBER(Z99), Z99-B99, ""))), TODAY()-B99))
</f>
        <v/>
      </c>
      <c r="AN99" s="381" t="str">
        <f t="shared" si="11"/>
        <v/>
      </c>
      <c r="AO99" s="366" t="str">
        <f t="shared" si="12"/>
        <v/>
      </c>
      <c r="AP99" s="166" t="str">
        <f t="shared" si="13"/>
        <v/>
      </c>
      <c r="AQ99" s="167" t="str">
        <f t="shared" si="26"/>
        <v/>
      </c>
      <c r="AR99" s="168" t="str">
        <f>IFS(AND(B99&gt;=DATE(2025,1,1), B99&lt;=DATE(2025,1,31)), AQ99/DDashboard!$C$2, AND(B99&gt;=DATE(2025,2,1), B99&lt;=DATE(2025,2,28)), AQ99/DDashboard!$C$3, AND(B99&gt;=DATE(2025,3,1), B99&lt;=DATE(2025,3,31)), AQ99/DDashboard!$C$4, AND(B99&gt;=DATE(2025,4,1), B99&lt;=DATE(2025,4,30)), AQ99/DDashboard!$C$5,AND(B99&gt;=DATE(2025,5,1), B99&lt;=DATE(2025,5,31)), AQ99/DDashboard!$C$6,AND(B99&gt;=DATE(2025,6,1), B99&lt;=DATE(2025,6,30)), AQ99/DDashboard!$C$7,AND(B99&gt;=DATE(2025,7,1), B99&lt;=DATE(2025,7,31)), AQ99/DDashboard!$C$8,AND(B99&gt;=DATE(2025,8,1), B99&lt;=DATE(2025,8,31)), AQ99/DDashboard!$C$9,AND(B99&gt;=DATE(2025,9,1), B99&lt;=DATE(2025,9,30)), AQ99/DDashboard!$C$10,AND(B99&gt;=DATE(2025,10,1), B99&lt;=DATE(2025,10,31)), AQ99/DDashboard!$C$11,AND(B99&gt;=DATE(2025,11,1), B99&lt;=DATE(2025,11,30)), AQ99/DDashboard!$C$12, AND(B99&gt;=DATE(2025,12,1), B99&lt;=DATE(2025,12,31)), AQ99/DDashboard!$C$13, True, "")
</f>
        <v/>
      </c>
      <c r="AS99" s="200" t="str">
        <f t="array" ref="AS99">IF(ISBLANK(C99), "", SUM($AR$9:AR99)
)</f>
        <v/>
      </c>
      <c r="AT99" s="169" t="b">
        <v>0</v>
      </c>
      <c r="AU99" s="169"/>
      <c r="AV99" s="169"/>
      <c r="AW99" s="169"/>
      <c r="AX99" s="383"/>
    </row>
    <row r="100">
      <c r="A100" s="388">
        <v>99.0</v>
      </c>
      <c r="B100" s="184"/>
      <c r="C100" s="185"/>
      <c r="D100" s="400"/>
      <c r="E100" s="187"/>
      <c r="F100" s="188"/>
      <c r="G100" s="397" t="str">
        <f t="shared" si="1"/>
        <v/>
      </c>
      <c r="H100" s="402"/>
      <c r="I100" s="402"/>
      <c r="J100" s="187"/>
      <c r="K100" s="145" t="str">
        <f>IFERROR(__xludf.DUMMYFUNCTION("IF(ISBLANK(C100), """", GOOGLEFINANCE(""NSE:"" &amp; C100,""price""))"),"")</f>
        <v/>
      </c>
      <c r="L100" s="213"/>
      <c r="M100" s="193"/>
      <c r="N100" s="194"/>
      <c r="O100" s="195"/>
      <c r="P100" s="196"/>
      <c r="Q100" s="376"/>
      <c r="R100" s="198"/>
      <c r="S100" s="196"/>
      <c r="T100" s="376"/>
      <c r="U100" s="199" t="str">
        <f t="shared" si="23"/>
        <v/>
      </c>
      <c r="V100" s="200" t="str">
        <f>IFS(AND(B100&gt;=DATE(2025,1,1), B100&lt;=DATE(2025,1,31)), U100/DDashboard!$C$2, AND(B100&gt;=DATE(2025,2,1), B100&lt;=DATE(2025,2,28)), U100/DDashboard!$C$3, AND(B100&gt;=DATE(2025,3,1), B100&lt;=DATE(2025,3,31)), U100/DDashboard!$C$4, AND(B100&gt;=DATE(2025,4,1), B100&lt;=DATE(2025,4,30)), U100/DDashboard!$C$5,AND(B100&gt;=DATE(2025,5,1), B100&lt;=DATE(2025,5,31)), U100/DDashboard!$C$6,AND(B100&gt;=DATE(2025,6,1), B100&lt;=DATE(2025,6,30)), U100/DDashboard!$C$7,AND(B100&gt;=DATE(2025,7,1), B100&lt;=DATE(2025,7,31)), U100/DDashboard!$C$8,AND(B100&gt;=DATE(2025,8,1), B100&lt;=DATE(2025,8,31)), U100/DDashboard!$C$9,AND(B100&gt;=DATE(2025,9,1), B100&lt;=DATE(2025,9,30)), U100/DDashboard!$C$10,AND(B100&gt;=DATE(2025,10,1), B100&lt;=DATE(2025,10,31)), U100/DDashboard!$C$11,AND(B100&gt;=DATE(2025,11,1), B100&lt;=DATE(2025,11,30)), U100/DDashboard!$C$12, AND(B100&gt;=DATE(2025,12,1), B100&lt;=DATE(2025,12,31)), U100/DDashboard!$C$13, True, "")
</f>
        <v/>
      </c>
      <c r="W100" s="201" t="str">
        <f t="shared" si="3"/>
        <v/>
      </c>
      <c r="X100" s="202"/>
      <c r="Y100" s="203"/>
      <c r="Z100" s="391"/>
      <c r="AA100" s="198"/>
      <c r="AB100" s="222"/>
      <c r="AC100" s="223"/>
      <c r="AD100" s="195"/>
      <c r="AE100" s="222"/>
      <c r="AF100" s="223"/>
      <c r="AG100" s="206" t="str">
        <f t="shared" si="4"/>
        <v/>
      </c>
      <c r="AH100" s="385" t="str">
        <f t="shared" si="5"/>
        <v/>
      </c>
      <c r="AI100" s="207" t="str">
        <f t="shared" si="24"/>
        <v/>
      </c>
      <c r="AJ100" s="367" t="str">
        <f t="shared" si="7"/>
        <v/>
      </c>
      <c r="AK100" s="208" t="str">
        <f t="shared" si="25"/>
        <v/>
      </c>
      <c r="AL100" s="207" t="str">
        <f t="shared" si="22"/>
        <v/>
      </c>
      <c r="AM100" s="209" t="str">
        <f>IF(AN100="", "", IF(AN100="Closed", 
    IF(ISNUMBER(AF100), AF100-B100,
        IF(ISNUMBER(AC100), AC100-B100,
            IF(ISNUMBER(Z100), Z100-B100, "")
        )
    ), 
    TODAY()-B100))</f>
        <v/>
      </c>
      <c r="AN100" s="386" t="str">
        <f t="shared" si="11"/>
        <v/>
      </c>
      <c r="AO100" s="366" t="str">
        <f t="shared" si="12"/>
        <v/>
      </c>
      <c r="AP100" s="210" t="str">
        <f t="shared" si="13"/>
        <v/>
      </c>
      <c r="AQ100" s="196" t="str">
        <f t="shared" si="26"/>
        <v/>
      </c>
      <c r="AR100" s="168" t="str">
        <f>IFS(AND(B100&gt;=DATE(2025,1,1), B100&lt;=DATE(2025,1,31)), AQ100/DDashboard!$C$2, AND(B100&gt;=DATE(2025,2,1), B100&lt;=DATE(2025,2,28)), AQ100/DDashboard!$C$3, AND(B100&gt;=DATE(2025,3,1), B100&lt;=DATE(2025,3,31)), AQ100/DDashboard!$C$4, AND(B100&gt;=DATE(2025,4,1), B100&lt;=DATE(2025,4,30)), AQ100/DDashboard!$C$5,AND(B100&gt;=DATE(2025,5,1), B100&lt;=DATE(2025,5,31)), AQ100/DDashboard!$C$6,AND(B100&gt;=DATE(2025,6,1), B100&lt;=DATE(2025,6,30)), AQ100/DDashboard!$C$7,AND(B100&gt;=DATE(2025,7,1), B100&lt;=DATE(2025,7,31)), AQ100/DDashboard!$C$8,AND(B100&gt;=DATE(2025,8,1), B100&lt;=DATE(2025,8,31)), AQ100/DDashboard!$C$9,AND(B100&gt;=DATE(2025,9,1), B100&lt;=DATE(2025,9,30)), AQ100/DDashboard!$C$10,AND(B100&gt;=DATE(2025,10,1), B100&lt;=DATE(2025,10,31)), AQ100/DDashboard!$C$11,AND(B100&gt;=DATE(2025,11,1), B100&lt;=DATE(2025,11,30)), AQ100/DDashboard!$C$12, AND(B100&gt;=DATE(2025,12,1), B100&lt;=DATE(2025,12,31)), AQ100/DDashboard!$C$13, True, "")
</f>
        <v/>
      </c>
      <c r="AS100" s="200" t="str">
        <f t="array" ref="AS100">IF(ISBLANK(C100), "", SUM($AR$9:AR100)
)</f>
        <v/>
      </c>
      <c r="AT100" s="169" t="b">
        <v>0</v>
      </c>
      <c r="AU100" s="169"/>
      <c r="AV100" s="169"/>
      <c r="AW100" s="169"/>
      <c r="AX100" s="387"/>
    </row>
    <row r="101">
      <c r="A101" s="389">
        <v>100.0</v>
      </c>
      <c r="B101" s="138"/>
      <c r="C101" s="139"/>
      <c r="D101" s="401"/>
      <c r="E101" s="403"/>
      <c r="F101" s="142"/>
      <c r="G101" s="398" t="str">
        <f t="shared" si="1"/>
        <v/>
      </c>
      <c r="H101" s="399"/>
      <c r="I101" s="399"/>
      <c r="J101" s="141"/>
      <c r="K101" s="145" t="str">
        <f>IFERROR(__xludf.DUMMYFUNCTION("IF(ISBLANK(C101), """", GOOGLEFINANCE(""NSE:"" &amp; C101,""price""))"),"")</f>
        <v/>
      </c>
      <c r="L101" s="146"/>
      <c r="M101" s="147"/>
      <c r="N101" s="148"/>
      <c r="O101" s="149"/>
      <c r="P101" s="150"/>
      <c r="Q101" s="377"/>
      <c r="R101" s="152"/>
      <c r="S101" s="150"/>
      <c r="T101" s="377"/>
      <c r="U101" s="153" t="str">
        <f t="shared" si="23"/>
        <v/>
      </c>
      <c r="V101" s="154" t="str">
        <f>IFS(AND(B101&gt;=DATE(2025,1,1), B101&lt;=DATE(2025,1,31)), U101/DDashboard!$C$2, AND(B101&gt;=DATE(2025,2,1), B101&lt;=DATE(2025,2,28)), U101/DDashboard!$C$3, AND(B101&gt;=DATE(2025,3,1), B101&lt;=DATE(2025,3,31)), U101/DDashboard!$C$4, AND(B101&gt;=DATE(2025,4,1), B101&lt;=DATE(2025,4,30)), U101/DDashboard!$C$5,AND(B101&gt;=DATE(2025,5,1), B101&lt;=DATE(2025,5,31)), U101/DDashboard!$C$6,AND(B101&gt;=DATE(2025,6,1), B101&lt;=DATE(2025,6,30)), U101/DDashboard!$C$7,AND(B101&gt;=DATE(2025,7,1), B101&lt;=DATE(2025,7,31)), U101/DDashboard!$C$8,AND(B101&gt;=DATE(2025,8,1), B101&lt;=DATE(2025,8,31)), U101/DDashboard!$C$9,AND(B101&gt;=DATE(2025,9,1), B101&lt;=DATE(2025,9,30)), U101/DDashboard!$C$10,AND(B101&gt;=DATE(2025,10,1), B101&lt;=DATE(2025,10,31)), U101/DDashboard!$C$11,AND(B101&gt;=DATE(2025,11,1), B101&lt;=DATE(2025,11,30)), U101/DDashboard!$C$12, AND(B101&gt;=DATE(2025,12,1), B101&lt;=DATE(2025,12,31)), U101/DDashboard!$C$13, True, "")
</f>
        <v/>
      </c>
      <c r="W101" s="65" t="str">
        <f t="shared" si="3"/>
        <v/>
      </c>
      <c r="X101" s="155"/>
      <c r="Y101" s="156"/>
      <c r="Z101" s="392"/>
      <c r="AA101" s="390"/>
      <c r="AB101" s="359"/>
      <c r="AC101" s="360"/>
      <c r="AD101" s="358"/>
      <c r="AE101" s="359"/>
      <c r="AF101" s="360"/>
      <c r="AG101" s="160" t="str">
        <f t="shared" si="4"/>
        <v/>
      </c>
      <c r="AH101" s="393" t="str">
        <f t="shared" si="5"/>
        <v/>
      </c>
      <c r="AI101" s="161" t="str">
        <f t="shared" si="24"/>
        <v/>
      </c>
      <c r="AJ101" s="365" t="str">
        <f t="shared" si="7"/>
        <v/>
      </c>
      <c r="AK101" s="162" t="str">
        <f t="shared" si="25"/>
        <v/>
      </c>
      <c r="AL101" s="161" t="str">
        <f t="shared" si="22"/>
        <v/>
      </c>
      <c r="AM101" s="163" t="str">
        <f>IF(AN101="", "", IF(AN101="Closed", IF(ISNUMBER(AF101), AF101-B101,IF(ISNUMBER(AC101), AC101-B101,IF(ISNUMBER(Z101), Z101-B101, ""))), TODAY()-B101))
</f>
        <v/>
      </c>
      <c r="AN101" s="381" t="str">
        <f t="shared" si="11"/>
        <v/>
      </c>
      <c r="AO101" s="366" t="str">
        <f t="shared" si="12"/>
        <v/>
      </c>
      <c r="AP101" s="166" t="str">
        <f t="shared" si="13"/>
        <v/>
      </c>
      <c r="AQ101" s="167" t="str">
        <f t="shared" si="26"/>
        <v/>
      </c>
      <c r="AR101" s="168" t="str">
        <f>IFS(AND(B101&gt;=DATE(2025,1,1), B101&lt;=DATE(2025,1,31)), AQ101/DDashboard!$C$2, AND(B101&gt;=DATE(2025,2,1), B101&lt;=DATE(2025,2,28)), AQ101/DDashboard!$C$3, AND(B101&gt;=DATE(2025,3,1), B101&lt;=DATE(2025,3,31)), AQ101/DDashboard!$C$4, AND(B101&gt;=DATE(2025,4,1), B101&lt;=DATE(2025,4,30)), AQ101/DDashboard!$C$5,AND(B101&gt;=DATE(2025,5,1), B101&lt;=DATE(2025,5,31)), AQ101/DDashboard!$C$6,AND(B101&gt;=DATE(2025,6,1), B101&lt;=DATE(2025,6,30)), AQ101/DDashboard!$C$7,AND(B101&gt;=DATE(2025,7,1), B101&lt;=DATE(2025,7,31)), AQ101/DDashboard!$C$8,AND(B101&gt;=DATE(2025,8,1), B101&lt;=DATE(2025,8,31)), AQ101/DDashboard!$C$9,AND(B101&gt;=DATE(2025,9,1), B101&lt;=DATE(2025,9,30)), AQ101/DDashboard!$C$10,AND(B101&gt;=DATE(2025,10,1), B101&lt;=DATE(2025,10,31)), AQ101/DDashboard!$C$11,AND(B101&gt;=DATE(2025,11,1), B101&lt;=DATE(2025,11,30)), AQ101/DDashboard!$C$12, AND(B101&gt;=DATE(2025,12,1), B101&lt;=DATE(2025,12,31)), AQ101/DDashboard!$C$13, True, "")
</f>
        <v/>
      </c>
      <c r="AS101" s="200" t="str">
        <f t="array" ref="AS101">IF(ISBLANK(C101), "", SUM($AR$9:AR101)
)</f>
        <v/>
      </c>
      <c r="AT101" s="169" t="b">
        <v>0</v>
      </c>
      <c r="AU101" s="169"/>
      <c r="AV101" s="169"/>
      <c r="AW101" s="169"/>
      <c r="AX101" s="383"/>
    </row>
    <row r="102">
      <c r="A102" s="388">
        <v>101.0</v>
      </c>
      <c r="B102" s="184"/>
      <c r="C102" s="185"/>
      <c r="D102" s="400"/>
      <c r="E102" s="187"/>
      <c r="F102" s="188"/>
      <c r="G102" s="397" t="str">
        <f t="shared" si="1"/>
        <v/>
      </c>
      <c r="H102" s="402"/>
      <c r="I102" s="402"/>
      <c r="J102" s="187"/>
      <c r="K102" s="145" t="str">
        <f>IFERROR(__xludf.DUMMYFUNCTION("IF(ISBLANK(C102), """", GOOGLEFINANCE(""NSE:"" &amp; C102,""price""))"),"")</f>
        <v/>
      </c>
      <c r="L102" s="213"/>
      <c r="M102" s="193"/>
      <c r="N102" s="194"/>
      <c r="O102" s="195"/>
      <c r="P102" s="196"/>
      <c r="Q102" s="376"/>
      <c r="R102" s="198"/>
      <c r="S102" s="196"/>
      <c r="T102" s="376"/>
      <c r="U102" s="199" t="str">
        <f t="shared" si="23"/>
        <v/>
      </c>
      <c r="V102" s="200" t="str">
        <f>IFS(AND(B102&gt;=DATE(2025,1,1), B102&lt;=DATE(2025,1,31)), U102/DDashboard!$C$2, AND(B102&gt;=DATE(2025,2,1), B102&lt;=DATE(2025,2,28)), U102/DDashboard!$C$3, AND(B102&gt;=DATE(2025,3,1), B102&lt;=DATE(2025,3,31)), U102/DDashboard!$C$4, AND(B102&gt;=DATE(2025,4,1), B102&lt;=DATE(2025,4,30)), U102/DDashboard!$C$5,AND(B102&gt;=DATE(2025,5,1), B102&lt;=DATE(2025,5,31)), U102/DDashboard!$C$6,AND(B102&gt;=DATE(2025,6,1), B102&lt;=DATE(2025,6,30)), U102/DDashboard!$C$7,AND(B102&gt;=DATE(2025,7,1), B102&lt;=DATE(2025,7,31)), U102/DDashboard!$C$8,AND(B102&gt;=DATE(2025,8,1), B102&lt;=DATE(2025,8,31)), U102/DDashboard!$C$9,AND(B102&gt;=DATE(2025,9,1), B102&lt;=DATE(2025,9,30)), U102/DDashboard!$C$10,AND(B102&gt;=DATE(2025,10,1), B102&lt;=DATE(2025,10,31)), U102/DDashboard!$C$11,AND(B102&gt;=DATE(2025,11,1), B102&lt;=DATE(2025,11,30)), U102/DDashboard!$C$12, AND(B102&gt;=DATE(2025,12,1), B102&lt;=DATE(2025,12,31)), U102/DDashboard!$C$13, True, "")
</f>
        <v/>
      </c>
      <c r="W102" s="201" t="str">
        <f t="shared" si="3"/>
        <v/>
      </c>
      <c r="X102" s="202"/>
      <c r="Y102" s="203"/>
      <c r="Z102" s="391"/>
      <c r="AA102" s="198"/>
      <c r="AB102" s="222"/>
      <c r="AC102" s="223"/>
      <c r="AD102" s="195"/>
      <c r="AE102" s="222"/>
      <c r="AF102" s="223"/>
      <c r="AG102" s="206" t="str">
        <f t="shared" si="4"/>
        <v/>
      </c>
      <c r="AH102" s="385" t="str">
        <f t="shared" si="5"/>
        <v/>
      </c>
      <c r="AI102" s="207" t="str">
        <f t="shared" si="24"/>
        <v/>
      </c>
      <c r="AJ102" s="367" t="str">
        <f t="shared" si="7"/>
        <v/>
      </c>
      <c r="AK102" s="208" t="str">
        <f t="shared" si="25"/>
        <v/>
      </c>
      <c r="AL102" s="207" t="str">
        <f t="shared" si="22"/>
        <v/>
      </c>
      <c r="AM102" s="209" t="str">
        <f>IF(AN102="", "", IF(AN102="Closed", 
    IF(ISNUMBER(AF102), AF102-B102,
        IF(ISNUMBER(AC102), AC102-B102,
            IF(ISNUMBER(Z102), Z102-B102, "")
        )
    ), 
    TODAY()-B102))</f>
        <v/>
      </c>
      <c r="AN102" s="386" t="str">
        <f t="shared" si="11"/>
        <v/>
      </c>
      <c r="AO102" s="366" t="str">
        <f t="shared" si="12"/>
        <v/>
      </c>
      <c r="AP102" s="210" t="str">
        <f t="shared" si="13"/>
        <v/>
      </c>
      <c r="AQ102" s="196" t="str">
        <f t="shared" si="26"/>
        <v/>
      </c>
      <c r="AR102" s="168" t="str">
        <f>IFS(AND(B102&gt;=DATE(2025,1,1), B102&lt;=DATE(2025,1,31)), AQ102/DDashboard!$C$2, AND(B102&gt;=DATE(2025,2,1), B102&lt;=DATE(2025,2,28)), AQ102/DDashboard!$C$3, AND(B102&gt;=DATE(2025,3,1), B102&lt;=DATE(2025,3,31)), AQ102/DDashboard!$C$4, AND(B102&gt;=DATE(2025,4,1), B102&lt;=DATE(2025,4,30)), AQ102/DDashboard!$C$5,AND(B102&gt;=DATE(2025,5,1), B102&lt;=DATE(2025,5,31)), AQ102/DDashboard!$C$6,AND(B102&gt;=DATE(2025,6,1), B102&lt;=DATE(2025,6,30)), AQ102/DDashboard!$C$7,AND(B102&gt;=DATE(2025,7,1), B102&lt;=DATE(2025,7,31)), AQ102/DDashboard!$C$8,AND(B102&gt;=DATE(2025,8,1), B102&lt;=DATE(2025,8,31)), AQ102/DDashboard!$C$9,AND(B102&gt;=DATE(2025,9,1), B102&lt;=DATE(2025,9,30)), AQ102/DDashboard!$C$10,AND(B102&gt;=DATE(2025,10,1), B102&lt;=DATE(2025,10,31)), AQ102/DDashboard!$C$11,AND(B102&gt;=DATE(2025,11,1), B102&lt;=DATE(2025,11,30)), AQ102/DDashboard!$C$12, AND(B102&gt;=DATE(2025,12,1), B102&lt;=DATE(2025,12,31)), AQ102/DDashboard!$C$13, True, "")
</f>
        <v/>
      </c>
      <c r="AS102" s="200" t="str">
        <f t="array" ref="AS102">IF(ISBLANK(C102), "", SUM($AR$9:AR102)
)</f>
        <v/>
      </c>
      <c r="AT102" s="169" t="b">
        <v>0</v>
      </c>
      <c r="AU102" s="169"/>
      <c r="AV102" s="169"/>
      <c r="AW102" s="169"/>
      <c r="AX102" s="32"/>
    </row>
    <row r="103">
      <c r="A103" s="389">
        <v>102.0</v>
      </c>
      <c r="B103" s="138"/>
      <c r="C103" s="139"/>
      <c r="D103" s="401"/>
      <c r="E103" s="141"/>
      <c r="F103" s="142"/>
      <c r="G103" s="398" t="str">
        <f t="shared" si="1"/>
        <v/>
      </c>
      <c r="H103" s="399"/>
      <c r="I103" s="399"/>
      <c r="J103" s="141"/>
      <c r="K103" s="145" t="str">
        <f>IFERROR(__xludf.DUMMYFUNCTION("IF(ISBLANK(C103), """", GOOGLEFINANCE(""NSE:"" &amp; C103,""price""))"),"")</f>
        <v/>
      </c>
      <c r="L103" s="146"/>
      <c r="M103" s="147"/>
      <c r="N103" s="148"/>
      <c r="O103" s="149"/>
      <c r="P103" s="150"/>
      <c r="Q103" s="377"/>
      <c r="R103" s="152"/>
      <c r="S103" s="150"/>
      <c r="T103" s="377"/>
      <c r="U103" s="153" t="str">
        <f t="shared" si="23"/>
        <v/>
      </c>
      <c r="V103" s="154" t="str">
        <f>IFS(AND(B103&gt;=DATE(2025,1,1), B103&lt;=DATE(2025,1,31)), U103/DDashboard!$C$2, AND(B103&gt;=DATE(2025,2,1), B103&lt;=DATE(2025,2,28)), U103/DDashboard!$C$3, AND(B103&gt;=DATE(2025,3,1), B103&lt;=DATE(2025,3,31)), U103/DDashboard!$C$4, AND(B103&gt;=DATE(2025,4,1), B103&lt;=DATE(2025,4,30)), U103/DDashboard!$C$5,AND(B103&gt;=DATE(2025,5,1), B103&lt;=DATE(2025,5,31)), U103/DDashboard!$C$6,AND(B103&gt;=DATE(2025,6,1), B103&lt;=DATE(2025,6,30)), U103/DDashboard!$C$7,AND(B103&gt;=DATE(2025,7,1), B103&lt;=DATE(2025,7,31)), U103/DDashboard!$C$8,AND(B103&gt;=DATE(2025,8,1), B103&lt;=DATE(2025,8,31)), U103/DDashboard!$C$9,AND(B103&gt;=DATE(2025,9,1), B103&lt;=DATE(2025,9,30)), U103/DDashboard!$C$10,AND(B103&gt;=DATE(2025,10,1), B103&lt;=DATE(2025,10,31)), U103/DDashboard!$C$11,AND(B103&gt;=DATE(2025,11,1), B103&lt;=DATE(2025,11,30)), U103/DDashboard!$C$12, AND(B103&gt;=DATE(2025,12,1), B103&lt;=DATE(2025,12,31)), U103/DDashboard!$C$13, True, "")
</f>
        <v/>
      </c>
      <c r="W103" s="65" t="str">
        <f t="shared" si="3"/>
        <v/>
      </c>
      <c r="X103" s="155"/>
      <c r="Y103" s="156"/>
      <c r="Z103" s="392"/>
      <c r="AA103" s="390"/>
      <c r="AB103" s="359"/>
      <c r="AC103" s="360"/>
      <c r="AD103" s="358"/>
      <c r="AE103" s="359"/>
      <c r="AF103" s="360"/>
      <c r="AG103" s="160" t="str">
        <f t="shared" si="4"/>
        <v/>
      </c>
      <c r="AH103" s="393" t="str">
        <f t="shared" si="5"/>
        <v/>
      </c>
      <c r="AI103" s="161" t="str">
        <f t="shared" si="24"/>
        <v/>
      </c>
      <c r="AJ103" s="365" t="str">
        <f t="shared" si="7"/>
        <v/>
      </c>
      <c r="AK103" s="162" t="str">
        <f t="shared" si="25"/>
        <v/>
      </c>
      <c r="AL103" s="161" t="str">
        <f t="shared" si="22"/>
        <v/>
      </c>
      <c r="AM103" s="163" t="str">
        <f>IF(AN103="", "", IF(AN103="Closed", IF(ISNUMBER(AF103), AF103-B103,IF(ISNUMBER(AC103), AC103-B103,IF(ISNUMBER(Z103), Z103-B103, ""))), TODAY()-B103))
</f>
        <v/>
      </c>
      <c r="AN103" s="381" t="str">
        <f t="shared" si="11"/>
        <v/>
      </c>
      <c r="AO103" s="366" t="str">
        <f t="shared" si="12"/>
        <v/>
      </c>
      <c r="AP103" s="166" t="str">
        <f t="shared" si="13"/>
        <v/>
      </c>
      <c r="AQ103" s="167" t="str">
        <f t="shared" si="26"/>
        <v/>
      </c>
      <c r="AR103" s="168" t="str">
        <f>IFS(AND(B103&gt;=DATE(2025,1,1), B103&lt;=DATE(2025,1,31)), AQ103/DDashboard!$C$2, AND(B103&gt;=DATE(2025,2,1), B103&lt;=DATE(2025,2,28)), AQ103/DDashboard!$C$3, AND(B103&gt;=DATE(2025,3,1), B103&lt;=DATE(2025,3,31)), AQ103/DDashboard!$C$4, AND(B103&gt;=DATE(2025,4,1), B103&lt;=DATE(2025,4,30)), AQ103/DDashboard!$C$5,AND(B103&gt;=DATE(2025,5,1), B103&lt;=DATE(2025,5,31)), AQ103/DDashboard!$C$6,AND(B103&gt;=DATE(2025,6,1), B103&lt;=DATE(2025,6,30)), AQ103/DDashboard!$C$7,AND(B103&gt;=DATE(2025,7,1), B103&lt;=DATE(2025,7,31)), AQ103/DDashboard!$C$8,AND(B103&gt;=DATE(2025,8,1), B103&lt;=DATE(2025,8,31)), AQ103/DDashboard!$C$9,AND(B103&gt;=DATE(2025,9,1), B103&lt;=DATE(2025,9,30)), AQ103/DDashboard!$C$10,AND(B103&gt;=DATE(2025,10,1), B103&lt;=DATE(2025,10,31)), AQ103/DDashboard!$C$11,AND(B103&gt;=DATE(2025,11,1), B103&lt;=DATE(2025,11,30)), AQ103/DDashboard!$C$12, AND(B103&gt;=DATE(2025,12,1), B103&lt;=DATE(2025,12,31)), AQ103/DDashboard!$C$13, True, "")
</f>
        <v/>
      </c>
      <c r="AS103" s="200" t="str">
        <f t="array" ref="AS103">IF(ISBLANK(C103), "", SUM($AR$9:AR103)
)</f>
        <v/>
      </c>
      <c r="AT103" s="169" t="b">
        <v>0</v>
      </c>
      <c r="AU103" s="169"/>
      <c r="AV103" s="169"/>
      <c r="AW103" s="169"/>
      <c r="AX103" s="183"/>
    </row>
    <row r="104">
      <c r="A104" s="388">
        <v>103.0</v>
      </c>
      <c r="B104" s="184"/>
      <c r="C104" s="185"/>
      <c r="D104" s="404"/>
      <c r="E104" s="404"/>
      <c r="F104" s="188"/>
      <c r="G104" s="397" t="str">
        <f t="shared" si="1"/>
        <v/>
      </c>
      <c r="H104" s="190"/>
      <c r="I104" s="402"/>
      <c r="J104" s="187"/>
      <c r="K104" s="145" t="str">
        <f>IFERROR(__xludf.DUMMYFUNCTION("IF(ISBLANK(C104), """", GOOGLEFINANCE(""NSE:"" &amp; C104,""price""))"),"")</f>
        <v/>
      </c>
      <c r="L104" s="213"/>
      <c r="M104" s="193"/>
      <c r="N104" s="194"/>
      <c r="O104" s="195"/>
      <c r="P104" s="196"/>
      <c r="Q104" s="376"/>
      <c r="R104" s="198"/>
      <c r="S104" s="196"/>
      <c r="T104" s="376"/>
      <c r="U104" s="199" t="str">
        <f t="shared" si="23"/>
        <v/>
      </c>
      <c r="V104" s="200" t="str">
        <f>IFS(AND(B104&gt;=DATE(2025,1,1), B104&lt;=DATE(2025,1,31)), U104/DDashboard!$C$2, AND(B104&gt;=DATE(2025,2,1), B104&lt;=DATE(2025,2,28)), U104/DDashboard!$C$3, AND(B104&gt;=DATE(2025,3,1), B104&lt;=DATE(2025,3,31)), U104/DDashboard!$C$4, AND(B104&gt;=DATE(2025,4,1), B104&lt;=DATE(2025,4,30)), U104/DDashboard!$C$5,AND(B104&gt;=DATE(2025,5,1), B104&lt;=DATE(2025,5,31)), U104/DDashboard!$C$6,AND(B104&gt;=DATE(2025,6,1), B104&lt;=DATE(2025,6,30)), U104/DDashboard!$C$7,AND(B104&gt;=DATE(2025,7,1), B104&lt;=DATE(2025,7,31)), U104/DDashboard!$C$8,AND(B104&gt;=DATE(2025,8,1), B104&lt;=DATE(2025,8,31)), U104/DDashboard!$C$9,AND(B104&gt;=DATE(2025,9,1), B104&lt;=DATE(2025,9,30)), U104/DDashboard!$C$10,AND(B104&gt;=DATE(2025,10,1), B104&lt;=DATE(2025,10,31)), U104/DDashboard!$C$11,AND(B104&gt;=DATE(2025,11,1), B104&lt;=DATE(2025,11,30)), U104/DDashboard!$C$12, AND(B104&gt;=DATE(2025,12,1), B104&lt;=DATE(2025,12,31)), U104/DDashboard!$C$13, True, "")
</f>
        <v/>
      </c>
      <c r="W104" s="201" t="str">
        <f t="shared" si="3"/>
        <v/>
      </c>
      <c r="X104" s="202"/>
      <c r="Y104" s="203"/>
      <c r="Z104" s="391"/>
      <c r="AA104" s="198"/>
      <c r="AB104" s="222"/>
      <c r="AC104" s="223"/>
      <c r="AD104" s="195"/>
      <c r="AE104" s="222"/>
      <c r="AF104" s="223"/>
      <c r="AG104" s="206" t="str">
        <f t="shared" si="4"/>
        <v/>
      </c>
      <c r="AH104" s="385" t="str">
        <f t="shared" si="5"/>
        <v/>
      </c>
      <c r="AI104" s="207" t="str">
        <f t="shared" si="24"/>
        <v/>
      </c>
      <c r="AJ104" s="367" t="str">
        <f t="shared" si="7"/>
        <v/>
      </c>
      <c r="AK104" s="208" t="str">
        <f t="shared" si="25"/>
        <v/>
      </c>
      <c r="AL104" s="207" t="str">
        <f t="shared" si="22"/>
        <v/>
      </c>
      <c r="AM104" s="209" t="str">
        <f>IF(AN104="", "", IF(AN104="Closed", 
    IF(ISNUMBER(AF104), AF104-B104,
        IF(ISNUMBER(AC104), AC104-B104,
            IF(ISNUMBER(Z104), Z104-B104, "")
        )
    ), 
    TODAY()-B104))</f>
        <v/>
      </c>
      <c r="AN104" s="386" t="str">
        <f t="shared" si="11"/>
        <v/>
      </c>
      <c r="AO104" s="366" t="str">
        <f t="shared" si="12"/>
        <v/>
      </c>
      <c r="AP104" s="210" t="str">
        <f t="shared" si="13"/>
        <v/>
      </c>
      <c r="AQ104" s="196" t="str">
        <f t="shared" si="26"/>
        <v/>
      </c>
      <c r="AR104" s="168" t="str">
        <f>IFS(AND(B104&gt;=DATE(2025,1,1), B104&lt;=DATE(2025,1,31)), AQ104/DDashboard!$C$2, AND(B104&gt;=DATE(2025,2,1), B104&lt;=DATE(2025,2,28)), AQ104/DDashboard!$C$3, AND(B104&gt;=DATE(2025,3,1), B104&lt;=DATE(2025,3,31)), AQ104/DDashboard!$C$4, AND(B104&gt;=DATE(2025,4,1), B104&lt;=DATE(2025,4,30)), AQ104/DDashboard!$C$5,AND(B104&gt;=DATE(2025,5,1), B104&lt;=DATE(2025,5,31)), AQ104/DDashboard!$C$6,AND(B104&gt;=DATE(2025,6,1), B104&lt;=DATE(2025,6,30)), AQ104/DDashboard!$C$7,AND(B104&gt;=DATE(2025,7,1), B104&lt;=DATE(2025,7,31)), AQ104/DDashboard!$C$8,AND(B104&gt;=DATE(2025,8,1), B104&lt;=DATE(2025,8,31)), AQ104/DDashboard!$C$9,AND(B104&gt;=DATE(2025,9,1), B104&lt;=DATE(2025,9,30)), AQ104/DDashboard!$C$10,AND(B104&gt;=DATE(2025,10,1), B104&lt;=DATE(2025,10,31)), AQ104/DDashboard!$C$11,AND(B104&gt;=DATE(2025,11,1), B104&lt;=DATE(2025,11,30)), AQ104/DDashboard!$C$12, AND(B104&gt;=DATE(2025,12,1), B104&lt;=DATE(2025,12,31)), AQ104/DDashboard!$C$13, True, "")
</f>
        <v/>
      </c>
      <c r="AS104" s="200" t="str">
        <f t="array" ref="AS104">IF(ISBLANK(C104), "", SUM($AR$9:AR104)
)</f>
        <v/>
      </c>
      <c r="AT104" s="169" t="b">
        <v>0</v>
      </c>
      <c r="AU104" s="169"/>
      <c r="AV104" s="169"/>
      <c r="AW104" s="169"/>
      <c r="AX104" s="32"/>
    </row>
    <row r="105">
      <c r="A105" s="389">
        <v>104.0</v>
      </c>
      <c r="B105" s="138"/>
      <c r="C105" s="139"/>
      <c r="D105" s="403"/>
      <c r="E105" s="403"/>
      <c r="F105" s="142"/>
      <c r="G105" s="398" t="str">
        <f t="shared" si="1"/>
        <v/>
      </c>
      <c r="H105" s="144"/>
      <c r="I105" s="399"/>
      <c r="J105" s="141"/>
      <c r="K105" s="145" t="str">
        <f>IFERROR(__xludf.DUMMYFUNCTION("IF(ISBLANK(C105), """", GOOGLEFINANCE(""NSE:"" &amp; C105,""price""))"),"")</f>
        <v/>
      </c>
      <c r="L105" s="146"/>
      <c r="M105" s="147"/>
      <c r="N105" s="148"/>
      <c r="O105" s="149"/>
      <c r="P105" s="150"/>
      <c r="Q105" s="377"/>
      <c r="R105" s="152"/>
      <c r="S105" s="150"/>
      <c r="T105" s="377"/>
      <c r="U105" s="153" t="str">
        <f t="shared" si="23"/>
        <v/>
      </c>
      <c r="V105" s="154" t="str">
        <f>IFS(AND(B105&gt;=DATE(2025,1,1), B105&lt;=DATE(2025,1,31)), U105/DDashboard!$C$2, AND(B105&gt;=DATE(2025,2,1), B105&lt;=DATE(2025,2,28)), U105/DDashboard!$C$3, AND(B105&gt;=DATE(2025,3,1), B105&lt;=DATE(2025,3,31)), U105/DDashboard!$C$4, AND(B105&gt;=DATE(2025,4,1), B105&lt;=DATE(2025,4,30)), U105/DDashboard!$C$5,AND(B105&gt;=DATE(2025,5,1), B105&lt;=DATE(2025,5,31)), U105/DDashboard!$C$6,AND(B105&gt;=DATE(2025,6,1), B105&lt;=DATE(2025,6,30)), U105/DDashboard!$C$7,AND(B105&gt;=DATE(2025,7,1), B105&lt;=DATE(2025,7,31)), U105/DDashboard!$C$8,AND(B105&gt;=DATE(2025,8,1), B105&lt;=DATE(2025,8,31)), U105/DDashboard!$C$9,AND(B105&gt;=DATE(2025,9,1), B105&lt;=DATE(2025,9,30)), U105/DDashboard!$C$10,AND(B105&gt;=DATE(2025,10,1), B105&lt;=DATE(2025,10,31)), U105/DDashboard!$C$11,AND(B105&gt;=DATE(2025,11,1), B105&lt;=DATE(2025,11,30)), U105/DDashboard!$C$12, AND(B105&gt;=DATE(2025,12,1), B105&lt;=DATE(2025,12,31)), U105/DDashboard!$C$13, True, "")
</f>
        <v/>
      </c>
      <c r="W105" s="65" t="str">
        <f t="shared" si="3"/>
        <v/>
      </c>
      <c r="X105" s="155"/>
      <c r="Y105" s="156"/>
      <c r="Z105" s="392"/>
      <c r="AA105" s="155"/>
      <c r="AB105" s="156"/>
      <c r="AC105" s="375"/>
      <c r="AD105" s="358"/>
      <c r="AE105" s="359"/>
      <c r="AF105" s="360"/>
      <c r="AG105" s="160" t="str">
        <f t="shared" si="4"/>
        <v/>
      </c>
      <c r="AH105" s="393" t="str">
        <f t="shared" si="5"/>
        <v/>
      </c>
      <c r="AI105" s="161" t="str">
        <f t="shared" si="24"/>
        <v/>
      </c>
      <c r="AJ105" s="365" t="str">
        <f t="shared" si="7"/>
        <v/>
      </c>
      <c r="AK105" s="162" t="str">
        <f t="shared" si="25"/>
        <v/>
      </c>
      <c r="AL105" s="161" t="str">
        <f t="shared" si="22"/>
        <v/>
      </c>
      <c r="AM105" s="163" t="str">
        <f>IF(AN105="", "", IF(AN105="Closed", IF(ISNUMBER(AF105), AF105-B105,IF(ISNUMBER(AC105), AC105-B105,IF(ISNUMBER(Z105), Z105-B105, ""))), TODAY()-B105))
</f>
        <v/>
      </c>
      <c r="AN105" s="381" t="str">
        <f t="shared" si="11"/>
        <v/>
      </c>
      <c r="AO105" s="366" t="str">
        <f t="shared" si="12"/>
        <v/>
      </c>
      <c r="AP105" s="166" t="str">
        <f t="shared" si="13"/>
        <v/>
      </c>
      <c r="AQ105" s="167" t="str">
        <f t="shared" si="26"/>
        <v/>
      </c>
      <c r="AR105" s="168" t="str">
        <f>IFS(AND(B105&gt;=DATE(2025,1,1), B105&lt;=DATE(2025,1,31)), AQ105/DDashboard!$C$2, AND(B105&gt;=DATE(2025,2,1), B105&lt;=DATE(2025,2,28)), AQ105/DDashboard!$C$3, AND(B105&gt;=DATE(2025,3,1), B105&lt;=DATE(2025,3,31)), AQ105/DDashboard!$C$4, AND(B105&gt;=DATE(2025,4,1), B105&lt;=DATE(2025,4,30)), AQ105/DDashboard!$C$5,AND(B105&gt;=DATE(2025,5,1), B105&lt;=DATE(2025,5,31)), AQ105/DDashboard!$C$6,AND(B105&gt;=DATE(2025,6,1), B105&lt;=DATE(2025,6,30)), AQ105/DDashboard!$C$7,AND(B105&gt;=DATE(2025,7,1), B105&lt;=DATE(2025,7,31)), AQ105/DDashboard!$C$8,AND(B105&gt;=DATE(2025,8,1), B105&lt;=DATE(2025,8,31)), AQ105/DDashboard!$C$9,AND(B105&gt;=DATE(2025,9,1), B105&lt;=DATE(2025,9,30)), AQ105/DDashboard!$C$10,AND(B105&gt;=DATE(2025,10,1), B105&lt;=DATE(2025,10,31)), AQ105/DDashboard!$C$11,AND(B105&gt;=DATE(2025,11,1), B105&lt;=DATE(2025,11,30)), AQ105/DDashboard!$C$12, AND(B105&gt;=DATE(2025,12,1), B105&lt;=DATE(2025,12,31)), AQ105/DDashboard!$C$13, True, "")
</f>
        <v/>
      </c>
      <c r="AS105" s="200" t="str">
        <f t="array" ref="AS105">IF(ISBLANK(C105), "", SUM($AR$9:AR105)
)</f>
        <v/>
      </c>
      <c r="AT105" s="169" t="b">
        <v>0</v>
      </c>
      <c r="AU105" s="169"/>
      <c r="AV105" s="169"/>
      <c r="AW105" s="169"/>
      <c r="AX105" s="183"/>
    </row>
    <row r="106">
      <c r="A106" s="388">
        <v>105.0</v>
      </c>
      <c r="B106" s="184"/>
      <c r="C106" s="185"/>
      <c r="D106" s="400"/>
      <c r="E106" s="404"/>
      <c r="F106" s="188"/>
      <c r="G106" s="397" t="str">
        <f t="shared" si="1"/>
        <v/>
      </c>
      <c r="H106" s="190"/>
      <c r="I106" s="402"/>
      <c r="J106" s="187"/>
      <c r="K106" s="145" t="str">
        <f>IFERROR(__xludf.DUMMYFUNCTION("IF(ISBLANK(C106), """", GOOGLEFINANCE(""NSE:"" &amp; C106,""price""))"),"")</f>
        <v/>
      </c>
      <c r="L106" s="213"/>
      <c r="M106" s="193"/>
      <c r="N106" s="194"/>
      <c r="O106" s="205"/>
      <c r="P106" s="228"/>
      <c r="Q106" s="370"/>
      <c r="R106" s="198"/>
      <c r="S106" s="196"/>
      <c r="T106" s="376"/>
      <c r="U106" s="199" t="str">
        <f t="shared" si="23"/>
        <v/>
      </c>
      <c r="V106" s="200" t="str">
        <f>IFS(AND(B106&gt;=DATE(2025,1,1), B106&lt;=DATE(2025,1,31)), U106/DDashboard!$C$2, AND(B106&gt;=DATE(2025,2,1), B106&lt;=DATE(2025,2,28)), U106/DDashboard!$C$3, AND(B106&gt;=DATE(2025,3,1), B106&lt;=DATE(2025,3,31)), U106/DDashboard!$C$4, AND(B106&gt;=DATE(2025,4,1), B106&lt;=DATE(2025,4,30)), U106/DDashboard!$C$5,AND(B106&gt;=DATE(2025,5,1), B106&lt;=DATE(2025,5,31)), U106/DDashboard!$C$6,AND(B106&gt;=DATE(2025,6,1), B106&lt;=DATE(2025,6,30)), U106/DDashboard!$C$7,AND(B106&gt;=DATE(2025,7,1), B106&lt;=DATE(2025,7,31)), U106/DDashboard!$C$8,AND(B106&gt;=DATE(2025,8,1), B106&lt;=DATE(2025,8,31)), U106/DDashboard!$C$9,AND(B106&gt;=DATE(2025,9,1), B106&lt;=DATE(2025,9,30)), U106/DDashboard!$C$10,AND(B106&gt;=DATE(2025,10,1), B106&lt;=DATE(2025,10,31)), U106/DDashboard!$C$11,AND(B106&gt;=DATE(2025,11,1), B106&lt;=DATE(2025,11,30)), U106/DDashboard!$C$12, AND(B106&gt;=DATE(2025,12,1), B106&lt;=DATE(2025,12,31)), U106/DDashboard!$C$13, True, "")
</f>
        <v/>
      </c>
      <c r="W106" s="201" t="str">
        <f t="shared" si="3"/>
        <v/>
      </c>
      <c r="X106" s="202"/>
      <c r="Y106" s="203"/>
      <c r="Z106" s="391"/>
      <c r="AA106" s="198"/>
      <c r="AB106" s="222"/>
      <c r="AC106" s="223"/>
      <c r="AD106" s="195"/>
      <c r="AE106" s="222"/>
      <c r="AF106" s="223"/>
      <c r="AG106" s="206" t="str">
        <f t="shared" si="4"/>
        <v/>
      </c>
      <c r="AH106" s="385" t="str">
        <f t="shared" si="5"/>
        <v/>
      </c>
      <c r="AI106" s="207" t="str">
        <f t="shared" si="24"/>
        <v/>
      </c>
      <c r="AJ106" s="367" t="str">
        <f t="shared" si="7"/>
        <v/>
      </c>
      <c r="AK106" s="208" t="str">
        <f t="shared" si="25"/>
        <v/>
      </c>
      <c r="AL106" s="207" t="str">
        <f t="shared" si="22"/>
        <v/>
      </c>
      <c r="AM106" s="209" t="str">
        <f>IF(AN106="", "", IF(AN106="Closed", 
    IF(ISNUMBER(AF106), AF106-B106,
        IF(ISNUMBER(AC106), AC106-B106,
            IF(ISNUMBER(Z106), Z106-B106, "")
        )
    ), 
    TODAY()-B106))</f>
        <v/>
      </c>
      <c r="AN106" s="386" t="str">
        <f t="shared" si="11"/>
        <v/>
      </c>
      <c r="AO106" s="366" t="str">
        <f t="shared" si="12"/>
        <v/>
      </c>
      <c r="AP106" s="210" t="str">
        <f t="shared" si="13"/>
        <v/>
      </c>
      <c r="AQ106" s="196" t="str">
        <f t="shared" si="26"/>
        <v/>
      </c>
      <c r="AR106" s="168" t="str">
        <f>IFS(AND(B106&gt;=DATE(2025,1,1), B106&lt;=DATE(2025,1,31)), AQ106/DDashboard!$C$2, AND(B106&gt;=DATE(2025,2,1), B106&lt;=DATE(2025,2,28)), AQ106/DDashboard!$C$3, AND(B106&gt;=DATE(2025,3,1), B106&lt;=DATE(2025,3,31)), AQ106/DDashboard!$C$4, AND(B106&gt;=DATE(2025,4,1), B106&lt;=DATE(2025,4,30)), AQ106/DDashboard!$C$5,AND(B106&gt;=DATE(2025,5,1), B106&lt;=DATE(2025,5,31)), AQ106/DDashboard!$C$6,AND(B106&gt;=DATE(2025,6,1), B106&lt;=DATE(2025,6,30)), AQ106/DDashboard!$C$7,AND(B106&gt;=DATE(2025,7,1), B106&lt;=DATE(2025,7,31)), AQ106/DDashboard!$C$8,AND(B106&gt;=DATE(2025,8,1), B106&lt;=DATE(2025,8,31)), AQ106/DDashboard!$C$9,AND(B106&gt;=DATE(2025,9,1), B106&lt;=DATE(2025,9,30)), AQ106/DDashboard!$C$10,AND(B106&gt;=DATE(2025,10,1), B106&lt;=DATE(2025,10,31)), AQ106/DDashboard!$C$11,AND(B106&gt;=DATE(2025,11,1), B106&lt;=DATE(2025,11,30)), AQ106/DDashboard!$C$12, AND(B106&gt;=DATE(2025,12,1), B106&lt;=DATE(2025,12,31)), AQ106/DDashboard!$C$13, True, "")
</f>
        <v/>
      </c>
      <c r="AS106" s="200" t="str">
        <f t="array" ref="AS106">IF(ISBLANK(C106), "", SUM($AR$9:AR106)
)</f>
        <v/>
      </c>
      <c r="AT106" s="169" t="b">
        <v>0</v>
      </c>
      <c r="AU106" s="169"/>
      <c r="AV106" s="169"/>
      <c r="AW106" s="169"/>
      <c r="AX106" s="32"/>
    </row>
    <row r="107">
      <c r="A107" s="389">
        <v>106.0</v>
      </c>
      <c r="B107" s="138"/>
      <c r="C107" s="139"/>
      <c r="D107" s="401"/>
      <c r="E107" s="403"/>
      <c r="F107" s="142"/>
      <c r="G107" s="398" t="str">
        <f t="shared" si="1"/>
        <v/>
      </c>
      <c r="H107" s="144"/>
      <c r="I107" s="399"/>
      <c r="J107" s="141"/>
      <c r="K107" s="145" t="str">
        <f>IFERROR(__xludf.DUMMYFUNCTION("IF(ISBLANK(C107), """", GOOGLEFINANCE(""NSE:"" &amp; C107,""price""))"),"")</f>
        <v/>
      </c>
      <c r="L107" s="146"/>
      <c r="M107" s="147"/>
      <c r="N107" s="148"/>
      <c r="O107" s="149"/>
      <c r="P107" s="150"/>
      <c r="Q107" s="377"/>
      <c r="R107" s="152"/>
      <c r="S107" s="150"/>
      <c r="T107" s="377"/>
      <c r="U107" s="153" t="str">
        <f t="shared" si="23"/>
        <v/>
      </c>
      <c r="V107" s="154" t="str">
        <f>IFS(AND(B107&gt;=DATE(2025,1,1), B107&lt;=DATE(2025,1,31)), U107/DDashboard!$C$2, AND(B107&gt;=DATE(2025,2,1), B107&lt;=DATE(2025,2,28)), U107/DDashboard!$C$3, AND(B107&gt;=DATE(2025,3,1), B107&lt;=DATE(2025,3,31)), U107/DDashboard!$C$4, AND(B107&gt;=DATE(2025,4,1), B107&lt;=DATE(2025,4,30)), U107/DDashboard!$C$5,AND(B107&gt;=DATE(2025,5,1), B107&lt;=DATE(2025,5,31)), U107/DDashboard!$C$6,AND(B107&gt;=DATE(2025,6,1), B107&lt;=DATE(2025,6,30)), U107/DDashboard!$C$7,AND(B107&gt;=DATE(2025,7,1), B107&lt;=DATE(2025,7,31)), U107/DDashboard!$C$8,AND(B107&gt;=DATE(2025,8,1), B107&lt;=DATE(2025,8,31)), U107/DDashboard!$C$9,AND(B107&gt;=DATE(2025,9,1), B107&lt;=DATE(2025,9,30)), U107/DDashboard!$C$10,AND(B107&gt;=DATE(2025,10,1), B107&lt;=DATE(2025,10,31)), U107/DDashboard!$C$11,AND(B107&gt;=DATE(2025,11,1), B107&lt;=DATE(2025,11,30)), U107/DDashboard!$C$12, AND(B107&gt;=DATE(2025,12,1), B107&lt;=DATE(2025,12,31)), U107/DDashboard!$C$13, True, "")
</f>
        <v/>
      </c>
      <c r="W107" s="65" t="str">
        <f t="shared" si="3"/>
        <v/>
      </c>
      <c r="X107" s="155"/>
      <c r="Y107" s="156"/>
      <c r="Z107" s="392"/>
      <c r="AA107" s="390"/>
      <c r="AB107" s="359"/>
      <c r="AC107" s="360"/>
      <c r="AD107" s="358"/>
      <c r="AE107" s="359"/>
      <c r="AF107" s="360"/>
      <c r="AG107" s="160" t="str">
        <f t="shared" si="4"/>
        <v/>
      </c>
      <c r="AH107" s="393" t="str">
        <f t="shared" si="5"/>
        <v/>
      </c>
      <c r="AI107" s="161" t="str">
        <f t="shared" si="24"/>
        <v/>
      </c>
      <c r="AJ107" s="365" t="str">
        <f t="shared" si="7"/>
        <v/>
      </c>
      <c r="AK107" s="162" t="str">
        <f t="shared" si="25"/>
        <v/>
      </c>
      <c r="AL107" s="161" t="str">
        <f t="shared" si="22"/>
        <v/>
      </c>
      <c r="AM107" s="163" t="str">
        <f>IF(AN107="", "", IF(AN107="Closed", IF(ISNUMBER(AF107), AF107-B107,IF(ISNUMBER(AC107), AC107-B107,IF(ISNUMBER(Z107), Z107-B107, ""))), TODAY()-B107))
</f>
        <v/>
      </c>
      <c r="AN107" s="381" t="str">
        <f t="shared" si="11"/>
        <v/>
      </c>
      <c r="AO107" s="366" t="str">
        <f t="shared" si="12"/>
        <v/>
      </c>
      <c r="AP107" s="166" t="str">
        <f t="shared" si="13"/>
        <v/>
      </c>
      <c r="AQ107" s="167" t="str">
        <f t="shared" si="26"/>
        <v/>
      </c>
      <c r="AR107" s="168" t="str">
        <f>IFS(AND(B107&gt;=DATE(2025,1,1), B107&lt;=DATE(2025,1,31)), AQ107/DDashboard!$C$2, AND(B107&gt;=DATE(2025,2,1), B107&lt;=DATE(2025,2,28)), AQ107/DDashboard!$C$3, AND(B107&gt;=DATE(2025,3,1), B107&lt;=DATE(2025,3,31)), AQ107/DDashboard!$C$4, AND(B107&gt;=DATE(2025,4,1), B107&lt;=DATE(2025,4,30)), AQ107/DDashboard!$C$5,AND(B107&gt;=DATE(2025,5,1), B107&lt;=DATE(2025,5,31)), AQ107/DDashboard!$C$6,AND(B107&gt;=DATE(2025,6,1), B107&lt;=DATE(2025,6,30)), AQ107/DDashboard!$C$7,AND(B107&gt;=DATE(2025,7,1), B107&lt;=DATE(2025,7,31)), AQ107/DDashboard!$C$8,AND(B107&gt;=DATE(2025,8,1), B107&lt;=DATE(2025,8,31)), AQ107/DDashboard!$C$9,AND(B107&gt;=DATE(2025,9,1), B107&lt;=DATE(2025,9,30)), AQ107/DDashboard!$C$10,AND(B107&gt;=DATE(2025,10,1), B107&lt;=DATE(2025,10,31)), AQ107/DDashboard!$C$11,AND(B107&gt;=DATE(2025,11,1), B107&lt;=DATE(2025,11,30)), AQ107/DDashboard!$C$12, AND(B107&gt;=DATE(2025,12,1), B107&lt;=DATE(2025,12,31)), AQ107/DDashboard!$C$13, True, "")
</f>
        <v/>
      </c>
      <c r="AS107" s="200" t="str">
        <f t="array" ref="AS107">IF(ISBLANK(C107), "", SUM($AR$9:AR107)
)</f>
        <v/>
      </c>
      <c r="AT107" s="169" t="b">
        <v>0</v>
      </c>
      <c r="AU107" s="169"/>
      <c r="AV107" s="169"/>
      <c r="AW107" s="169"/>
      <c r="AX107" s="183"/>
    </row>
    <row r="108">
      <c r="A108" s="388">
        <v>107.0</v>
      </c>
      <c r="B108" s="184"/>
      <c r="C108" s="185"/>
      <c r="D108" s="400"/>
      <c r="E108" s="187"/>
      <c r="F108" s="188"/>
      <c r="G108" s="397" t="str">
        <f t="shared" si="1"/>
        <v/>
      </c>
      <c r="H108" s="402"/>
      <c r="I108" s="402"/>
      <c r="J108" s="187"/>
      <c r="K108" s="145" t="str">
        <f>IFERROR(__xludf.DUMMYFUNCTION("IF(ISBLANK(C108), """", GOOGLEFINANCE(""NSE:"" &amp; C108,""price""))"),"")</f>
        <v/>
      </c>
      <c r="L108" s="213"/>
      <c r="M108" s="193"/>
      <c r="N108" s="194"/>
      <c r="O108" s="195"/>
      <c r="P108" s="196"/>
      <c r="Q108" s="376"/>
      <c r="R108" s="198"/>
      <c r="S108" s="196"/>
      <c r="T108" s="376"/>
      <c r="U108" s="199" t="str">
        <f t="shared" si="23"/>
        <v/>
      </c>
      <c r="V108" s="200" t="str">
        <f>IFS(AND(B108&gt;=DATE(2025,1,1), B108&lt;=DATE(2025,1,31)), U108/DDashboard!$C$2, AND(B108&gt;=DATE(2025,2,1), B108&lt;=DATE(2025,2,28)), U108/DDashboard!$C$3, AND(B108&gt;=DATE(2025,3,1), B108&lt;=DATE(2025,3,31)), U108/DDashboard!$C$4, AND(B108&gt;=DATE(2025,4,1), B108&lt;=DATE(2025,4,30)), U108/DDashboard!$C$5,AND(B108&gt;=DATE(2025,5,1), B108&lt;=DATE(2025,5,31)), U108/DDashboard!$C$6,AND(B108&gt;=DATE(2025,6,1), B108&lt;=DATE(2025,6,30)), U108/DDashboard!$C$7,AND(B108&gt;=DATE(2025,7,1), B108&lt;=DATE(2025,7,31)), U108/DDashboard!$C$8,AND(B108&gt;=DATE(2025,8,1), B108&lt;=DATE(2025,8,31)), U108/DDashboard!$C$9,AND(B108&gt;=DATE(2025,9,1), B108&lt;=DATE(2025,9,30)), U108/DDashboard!$C$10,AND(B108&gt;=DATE(2025,10,1), B108&lt;=DATE(2025,10,31)), U108/DDashboard!$C$11,AND(B108&gt;=DATE(2025,11,1), B108&lt;=DATE(2025,11,30)), U108/DDashboard!$C$12, AND(B108&gt;=DATE(2025,12,1), B108&lt;=DATE(2025,12,31)), U108/DDashboard!$C$13, True, "")
</f>
        <v/>
      </c>
      <c r="W108" s="201" t="str">
        <f t="shared" si="3"/>
        <v/>
      </c>
      <c r="X108" s="202"/>
      <c r="Y108" s="203"/>
      <c r="Z108" s="391"/>
      <c r="AA108" s="198"/>
      <c r="AB108" s="222"/>
      <c r="AC108" s="223"/>
      <c r="AD108" s="195"/>
      <c r="AE108" s="222"/>
      <c r="AF108" s="223"/>
      <c r="AG108" s="206" t="str">
        <f t="shared" si="4"/>
        <v/>
      </c>
      <c r="AH108" s="385" t="str">
        <f t="shared" si="5"/>
        <v/>
      </c>
      <c r="AI108" s="207" t="str">
        <f t="shared" si="24"/>
        <v/>
      </c>
      <c r="AJ108" s="367" t="str">
        <f t="shared" si="7"/>
        <v/>
      </c>
      <c r="AK108" s="208" t="str">
        <f t="shared" si="25"/>
        <v/>
      </c>
      <c r="AL108" s="207" t="str">
        <f t="shared" si="22"/>
        <v/>
      </c>
      <c r="AM108" s="209" t="str">
        <f>IF(AN108="", "", IF(AN108="Closed", 
    IF(ISNUMBER(AF108), AF108-B108,
        IF(ISNUMBER(AC108), AC108-B108,
            IF(ISNUMBER(Z108), Z108-B108, "")
        )
    ), 
    TODAY()-B108))</f>
        <v/>
      </c>
      <c r="AN108" s="386" t="str">
        <f t="shared" si="11"/>
        <v/>
      </c>
      <c r="AO108" s="366" t="str">
        <f t="shared" si="12"/>
        <v/>
      </c>
      <c r="AP108" s="210" t="str">
        <f t="shared" si="13"/>
        <v/>
      </c>
      <c r="AQ108" s="196" t="str">
        <f t="shared" si="26"/>
        <v/>
      </c>
      <c r="AR108" s="168" t="str">
        <f>IFS(AND(B108&gt;=DATE(2025,1,1), B108&lt;=DATE(2025,1,31)), AQ108/DDashboard!$C$2, AND(B108&gt;=DATE(2025,2,1), B108&lt;=DATE(2025,2,28)), AQ108/DDashboard!$C$3, AND(B108&gt;=DATE(2025,3,1), B108&lt;=DATE(2025,3,31)), AQ108/DDashboard!$C$4, AND(B108&gt;=DATE(2025,4,1), B108&lt;=DATE(2025,4,30)), AQ108/DDashboard!$C$5,AND(B108&gt;=DATE(2025,5,1), B108&lt;=DATE(2025,5,31)), AQ108/DDashboard!$C$6,AND(B108&gt;=DATE(2025,6,1), B108&lt;=DATE(2025,6,30)), AQ108/DDashboard!$C$7,AND(B108&gt;=DATE(2025,7,1), B108&lt;=DATE(2025,7,31)), AQ108/DDashboard!$C$8,AND(B108&gt;=DATE(2025,8,1), B108&lt;=DATE(2025,8,31)), AQ108/DDashboard!$C$9,AND(B108&gt;=DATE(2025,9,1), B108&lt;=DATE(2025,9,30)), AQ108/DDashboard!$C$10,AND(B108&gt;=DATE(2025,10,1), B108&lt;=DATE(2025,10,31)), AQ108/DDashboard!$C$11,AND(B108&gt;=DATE(2025,11,1), B108&lt;=DATE(2025,11,30)), AQ108/DDashboard!$C$12, AND(B108&gt;=DATE(2025,12,1), B108&lt;=DATE(2025,12,31)), AQ108/DDashboard!$C$13, True, "")
</f>
        <v/>
      </c>
      <c r="AS108" s="200" t="str">
        <f t="array" ref="AS108">IF(ISBLANK(C108), "", SUM($AR$9:AR108)
)</f>
        <v/>
      </c>
      <c r="AT108" s="169" t="b">
        <v>0</v>
      </c>
      <c r="AU108" s="169"/>
      <c r="AV108" s="169"/>
      <c r="AW108" s="169"/>
      <c r="AX108" s="387"/>
    </row>
    <row r="109">
      <c r="A109" s="389">
        <v>108.0</v>
      </c>
      <c r="B109" s="138"/>
      <c r="C109" s="139"/>
      <c r="D109" s="401"/>
      <c r="E109" s="141"/>
      <c r="F109" s="142"/>
      <c r="G109" s="398" t="str">
        <f t="shared" si="1"/>
        <v/>
      </c>
      <c r="H109" s="399"/>
      <c r="I109" s="399"/>
      <c r="J109" s="141"/>
      <c r="K109" s="145" t="str">
        <f>IFERROR(__xludf.DUMMYFUNCTION("IF(ISBLANK(C109), """", GOOGLEFINANCE(""NSE:"" &amp; C109,""price""))"),"")</f>
        <v/>
      </c>
      <c r="L109" s="146"/>
      <c r="M109" s="147"/>
      <c r="N109" s="148"/>
      <c r="O109" s="149"/>
      <c r="P109" s="150"/>
      <c r="Q109" s="377"/>
      <c r="R109" s="152"/>
      <c r="S109" s="150"/>
      <c r="T109" s="377"/>
      <c r="U109" s="153" t="str">
        <f t="shared" si="23"/>
        <v/>
      </c>
      <c r="V109" s="154" t="str">
        <f>IFS(AND(B109&gt;=DATE(2025,1,1), B109&lt;=DATE(2025,1,31)), U109/DDashboard!$C$2, AND(B109&gt;=DATE(2025,2,1), B109&lt;=DATE(2025,2,28)), U109/DDashboard!$C$3, AND(B109&gt;=DATE(2025,3,1), B109&lt;=DATE(2025,3,31)), U109/DDashboard!$C$4, AND(B109&gt;=DATE(2025,4,1), B109&lt;=DATE(2025,4,30)), U109/DDashboard!$C$5,AND(B109&gt;=DATE(2025,5,1), B109&lt;=DATE(2025,5,31)), U109/DDashboard!$C$6,AND(B109&gt;=DATE(2025,6,1), B109&lt;=DATE(2025,6,30)), U109/DDashboard!$C$7,AND(B109&gt;=DATE(2025,7,1), B109&lt;=DATE(2025,7,31)), U109/DDashboard!$C$8,AND(B109&gt;=DATE(2025,8,1), B109&lt;=DATE(2025,8,31)), U109/DDashboard!$C$9,AND(B109&gt;=DATE(2025,9,1), B109&lt;=DATE(2025,9,30)), U109/DDashboard!$C$10,AND(B109&gt;=DATE(2025,10,1), B109&lt;=DATE(2025,10,31)), U109/DDashboard!$C$11,AND(B109&gt;=DATE(2025,11,1), B109&lt;=DATE(2025,11,30)), U109/DDashboard!$C$12, AND(B109&gt;=DATE(2025,12,1), B109&lt;=DATE(2025,12,31)), U109/DDashboard!$C$13, True, "")
</f>
        <v/>
      </c>
      <c r="W109" s="65" t="str">
        <f t="shared" si="3"/>
        <v/>
      </c>
      <c r="X109" s="155"/>
      <c r="Y109" s="156"/>
      <c r="Z109" s="392"/>
      <c r="AA109" s="390"/>
      <c r="AB109" s="359"/>
      <c r="AC109" s="360"/>
      <c r="AD109" s="358"/>
      <c r="AE109" s="359"/>
      <c r="AF109" s="360"/>
      <c r="AG109" s="160" t="str">
        <f t="shared" si="4"/>
        <v/>
      </c>
      <c r="AH109" s="393" t="str">
        <f t="shared" si="5"/>
        <v/>
      </c>
      <c r="AI109" s="161" t="str">
        <f t="shared" si="24"/>
        <v/>
      </c>
      <c r="AJ109" s="365" t="str">
        <f t="shared" si="7"/>
        <v/>
      </c>
      <c r="AK109" s="162" t="str">
        <f t="shared" si="25"/>
        <v/>
      </c>
      <c r="AL109" s="161" t="str">
        <f t="shared" si="22"/>
        <v/>
      </c>
      <c r="AM109" s="163" t="str">
        <f>IF(AN109="", "", IF(AN109="Closed", IF(ISNUMBER(AF109), AF109-B109,IF(ISNUMBER(AC109), AC109-B109,IF(ISNUMBER(Z109), Z109-B109, ""))), TODAY()-B109))
</f>
        <v/>
      </c>
      <c r="AN109" s="381" t="str">
        <f t="shared" si="11"/>
        <v/>
      </c>
      <c r="AO109" s="366" t="str">
        <f t="shared" si="12"/>
        <v/>
      </c>
      <c r="AP109" s="166" t="str">
        <f t="shared" si="13"/>
        <v/>
      </c>
      <c r="AQ109" s="167" t="str">
        <f t="shared" si="26"/>
        <v/>
      </c>
      <c r="AR109" s="168" t="str">
        <f>IFS(AND(B109&gt;=DATE(2025,1,1), B109&lt;=DATE(2025,1,31)), AQ109/DDashboard!$C$2, AND(B109&gt;=DATE(2025,2,1), B109&lt;=DATE(2025,2,28)), AQ109/DDashboard!$C$3, AND(B109&gt;=DATE(2025,3,1), B109&lt;=DATE(2025,3,31)), AQ109/DDashboard!$C$4, AND(B109&gt;=DATE(2025,4,1), B109&lt;=DATE(2025,4,30)), AQ109/DDashboard!$C$5,AND(B109&gt;=DATE(2025,5,1), B109&lt;=DATE(2025,5,31)), AQ109/DDashboard!$C$6,AND(B109&gt;=DATE(2025,6,1), B109&lt;=DATE(2025,6,30)), AQ109/DDashboard!$C$7,AND(B109&gt;=DATE(2025,7,1), B109&lt;=DATE(2025,7,31)), AQ109/DDashboard!$C$8,AND(B109&gt;=DATE(2025,8,1), B109&lt;=DATE(2025,8,31)), AQ109/DDashboard!$C$9,AND(B109&gt;=DATE(2025,9,1), B109&lt;=DATE(2025,9,30)), AQ109/DDashboard!$C$10,AND(B109&gt;=DATE(2025,10,1), B109&lt;=DATE(2025,10,31)), AQ109/DDashboard!$C$11,AND(B109&gt;=DATE(2025,11,1), B109&lt;=DATE(2025,11,30)), AQ109/DDashboard!$C$12, AND(B109&gt;=DATE(2025,12,1), B109&lt;=DATE(2025,12,31)), AQ109/DDashboard!$C$13, True, "")
</f>
        <v/>
      </c>
      <c r="AS109" s="200" t="str">
        <f t="array" ref="AS109">IF(ISBLANK(C109), "", SUM($AR$9:AR109)
)</f>
        <v/>
      </c>
      <c r="AT109" s="169" t="b">
        <v>0</v>
      </c>
      <c r="AU109" s="169"/>
      <c r="AV109" s="169"/>
      <c r="AW109" s="169"/>
      <c r="AX109" s="383"/>
    </row>
    <row r="110">
      <c r="A110" s="388">
        <v>109.0</v>
      </c>
      <c r="B110" s="184"/>
      <c r="C110" s="185"/>
      <c r="D110" s="400"/>
      <c r="E110" s="187"/>
      <c r="F110" s="188"/>
      <c r="G110" s="397" t="str">
        <f t="shared" si="1"/>
        <v/>
      </c>
      <c r="H110" s="402"/>
      <c r="I110" s="402"/>
      <c r="J110" s="187"/>
      <c r="K110" s="145" t="str">
        <f>IFERROR(__xludf.DUMMYFUNCTION("IF(ISBLANK(C110), """", GOOGLEFINANCE(""NSE:"" &amp; C110,""price""))"),"")</f>
        <v/>
      </c>
      <c r="L110" s="213"/>
      <c r="M110" s="193"/>
      <c r="N110" s="194"/>
      <c r="O110" s="195"/>
      <c r="P110" s="196"/>
      <c r="Q110" s="376"/>
      <c r="R110" s="198"/>
      <c r="S110" s="196"/>
      <c r="T110" s="376"/>
      <c r="U110" s="199" t="str">
        <f t="shared" si="23"/>
        <v/>
      </c>
      <c r="V110" s="200" t="str">
        <f>IFS(AND(B110&gt;=DATE(2025,1,1), B110&lt;=DATE(2025,1,31)), U110/DDashboard!$C$2, AND(B110&gt;=DATE(2025,2,1), B110&lt;=DATE(2025,2,28)), U110/DDashboard!$C$3, AND(B110&gt;=DATE(2025,3,1), B110&lt;=DATE(2025,3,31)), U110/DDashboard!$C$4, AND(B110&gt;=DATE(2025,4,1), B110&lt;=DATE(2025,4,30)), U110/DDashboard!$C$5,AND(B110&gt;=DATE(2025,5,1), B110&lt;=DATE(2025,5,31)), U110/DDashboard!$C$6,AND(B110&gt;=DATE(2025,6,1), B110&lt;=DATE(2025,6,30)), U110/DDashboard!$C$7,AND(B110&gt;=DATE(2025,7,1), B110&lt;=DATE(2025,7,31)), U110/DDashboard!$C$8,AND(B110&gt;=DATE(2025,8,1), B110&lt;=DATE(2025,8,31)), U110/DDashboard!$C$9,AND(B110&gt;=DATE(2025,9,1), B110&lt;=DATE(2025,9,30)), U110/DDashboard!$C$10,AND(B110&gt;=DATE(2025,10,1), B110&lt;=DATE(2025,10,31)), U110/DDashboard!$C$11,AND(B110&gt;=DATE(2025,11,1), B110&lt;=DATE(2025,11,30)), U110/DDashboard!$C$12, AND(B110&gt;=DATE(2025,12,1), B110&lt;=DATE(2025,12,31)), U110/DDashboard!$C$13, True, "")
</f>
        <v/>
      </c>
      <c r="W110" s="201" t="str">
        <f t="shared" si="3"/>
        <v/>
      </c>
      <c r="X110" s="202"/>
      <c r="Y110" s="203"/>
      <c r="Z110" s="391"/>
      <c r="AA110" s="198"/>
      <c r="AB110" s="222"/>
      <c r="AC110" s="223"/>
      <c r="AD110" s="195"/>
      <c r="AE110" s="222"/>
      <c r="AF110" s="223"/>
      <c r="AG110" s="206" t="str">
        <f t="shared" si="4"/>
        <v/>
      </c>
      <c r="AH110" s="385" t="str">
        <f t="shared" si="5"/>
        <v/>
      </c>
      <c r="AI110" s="207" t="str">
        <f t="shared" si="24"/>
        <v/>
      </c>
      <c r="AJ110" s="367" t="str">
        <f t="shared" si="7"/>
        <v/>
      </c>
      <c r="AK110" s="208" t="str">
        <f t="shared" si="25"/>
        <v/>
      </c>
      <c r="AL110" s="207" t="str">
        <f t="shared" si="22"/>
        <v/>
      </c>
      <c r="AM110" s="209" t="str">
        <f>IF(AN110="", "", IF(AN110="Closed", 
    IF(ISNUMBER(AF110), AF110-B110,
        IF(ISNUMBER(AC110), AC110-B110,
            IF(ISNUMBER(Z110), Z110-B110, "")
        )
    ), 
    TODAY()-B110))</f>
        <v/>
      </c>
      <c r="AN110" s="386" t="str">
        <f t="shared" si="11"/>
        <v/>
      </c>
      <c r="AO110" s="366" t="str">
        <f t="shared" si="12"/>
        <v/>
      </c>
      <c r="AP110" s="210" t="str">
        <f t="shared" si="13"/>
        <v/>
      </c>
      <c r="AQ110" s="196" t="str">
        <f t="shared" si="26"/>
        <v/>
      </c>
      <c r="AR110" s="168" t="str">
        <f>IFS(AND(B110&gt;=DATE(2025,1,1), B110&lt;=DATE(2025,1,31)), AQ110/DDashboard!$C$2, AND(B110&gt;=DATE(2025,2,1), B110&lt;=DATE(2025,2,28)), AQ110/DDashboard!$C$3, AND(B110&gt;=DATE(2025,3,1), B110&lt;=DATE(2025,3,31)), AQ110/DDashboard!$C$4, AND(B110&gt;=DATE(2025,4,1), B110&lt;=DATE(2025,4,30)), AQ110/DDashboard!$C$5,AND(B110&gt;=DATE(2025,5,1), B110&lt;=DATE(2025,5,31)), AQ110/DDashboard!$C$6,AND(B110&gt;=DATE(2025,6,1), B110&lt;=DATE(2025,6,30)), AQ110/DDashboard!$C$7,AND(B110&gt;=DATE(2025,7,1), B110&lt;=DATE(2025,7,31)), AQ110/DDashboard!$C$8,AND(B110&gt;=DATE(2025,8,1), B110&lt;=DATE(2025,8,31)), AQ110/DDashboard!$C$9,AND(B110&gt;=DATE(2025,9,1), B110&lt;=DATE(2025,9,30)), AQ110/DDashboard!$C$10,AND(B110&gt;=DATE(2025,10,1), B110&lt;=DATE(2025,10,31)), AQ110/DDashboard!$C$11,AND(B110&gt;=DATE(2025,11,1), B110&lt;=DATE(2025,11,30)), AQ110/DDashboard!$C$12, AND(B110&gt;=DATE(2025,12,1), B110&lt;=DATE(2025,12,31)), AQ110/DDashboard!$C$13, True, "")
</f>
        <v/>
      </c>
      <c r="AS110" s="200" t="str">
        <f t="array" ref="AS110">IF(ISBLANK(C110), "", SUM($AR$9:AR110)
)</f>
        <v/>
      </c>
      <c r="AT110" s="169" t="b">
        <v>0</v>
      </c>
      <c r="AU110" s="169"/>
      <c r="AV110" s="169"/>
      <c r="AW110" s="169"/>
      <c r="AX110" s="32"/>
    </row>
    <row r="111">
      <c r="A111" s="389">
        <v>110.0</v>
      </c>
      <c r="B111" s="138"/>
      <c r="C111" s="139"/>
      <c r="D111" s="401"/>
      <c r="E111" s="141"/>
      <c r="F111" s="142"/>
      <c r="G111" s="398" t="str">
        <f t="shared" si="1"/>
        <v/>
      </c>
      <c r="H111" s="399"/>
      <c r="I111" s="399"/>
      <c r="J111" s="141"/>
      <c r="K111" s="145" t="str">
        <f>IFERROR(__xludf.DUMMYFUNCTION("IF(ISBLANK(C111), """", GOOGLEFINANCE(""NSE:"" &amp; C111,""price""))"),"")</f>
        <v/>
      </c>
      <c r="L111" s="146"/>
      <c r="M111" s="147"/>
      <c r="N111" s="148"/>
      <c r="O111" s="149"/>
      <c r="P111" s="150"/>
      <c r="Q111" s="377"/>
      <c r="R111" s="152"/>
      <c r="S111" s="150"/>
      <c r="T111" s="377"/>
      <c r="U111" s="153" t="str">
        <f t="shared" si="23"/>
        <v/>
      </c>
      <c r="V111" s="154" t="str">
        <f>IFS(AND(B111&gt;=DATE(2025,1,1), B111&lt;=DATE(2025,1,31)), U111/DDashboard!$C$2, AND(B111&gt;=DATE(2025,2,1), B111&lt;=DATE(2025,2,28)), U111/DDashboard!$C$3, AND(B111&gt;=DATE(2025,3,1), B111&lt;=DATE(2025,3,31)), U111/DDashboard!$C$4, AND(B111&gt;=DATE(2025,4,1), B111&lt;=DATE(2025,4,30)), U111/DDashboard!$C$5,AND(B111&gt;=DATE(2025,5,1), B111&lt;=DATE(2025,5,31)), U111/DDashboard!$C$6,AND(B111&gt;=DATE(2025,6,1), B111&lt;=DATE(2025,6,30)), U111/DDashboard!$C$7,AND(B111&gt;=DATE(2025,7,1), B111&lt;=DATE(2025,7,31)), U111/DDashboard!$C$8,AND(B111&gt;=DATE(2025,8,1), B111&lt;=DATE(2025,8,31)), U111/DDashboard!$C$9,AND(B111&gt;=DATE(2025,9,1), B111&lt;=DATE(2025,9,30)), U111/DDashboard!$C$10,AND(B111&gt;=DATE(2025,10,1), B111&lt;=DATE(2025,10,31)), U111/DDashboard!$C$11,AND(B111&gt;=DATE(2025,11,1), B111&lt;=DATE(2025,11,30)), U111/DDashboard!$C$12, AND(B111&gt;=DATE(2025,12,1), B111&lt;=DATE(2025,12,31)), U111/DDashboard!$C$13, True, "")
</f>
        <v/>
      </c>
      <c r="W111" s="65" t="str">
        <f t="shared" si="3"/>
        <v/>
      </c>
      <c r="X111" s="155"/>
      <c r="Y111" s="156"/>
      <c r="Z111" s="392"/>
      <c r="AA111" s="390"/>
      <c r="AB111" s="359"/>
      <c r="AC111" s="360"/>
      <c r="AD111" s="358"/>
      <c r="AE111" s="359"/>
      <c r="AF111" s="360"/>
      <c r="AG111" s="160" t="str">
        <f t="shared" si="4"/>
        <v/>
      </c>
      <c r="AH111" s="393" t="str">
        <f t="shared" si="5"/>
        <v/>
      </c>
      <c r="AI111" s="161" t="str">
        <f t="shared" si="24"/>
        <v/>
      </c>
      <c r="AJ111" s="365" t="str">
        <f t="shared" si="7"/>
        <v/>
      </c>
      <c r="AK111" s="162" t="str">
        <f t="shared" si="25"/>
        <v/>
      </c>
      <c r="AL111" s="161" t="str">
        <f t="shared" si="22"/>
        <v/>
      </c>
      <c r="AM111" s="163" t="str">
        <f>IF(AN111="", "", IF(AN111="Closed", IF(ISNUMBER(AF111), AF111-B111,IF(ISNUMBER(AC111), AC111-B111,IF(ISNUMBER(Z111), Z111-B111, ""))), TODAY()-B111))
</f>
        <v/>
      </c>
      <c r="AN111" s="381" t="str">
        <f t="shared" si="11"/>
        <v/>
      </c>
      <c r="AO111" s="366" t="str">
        <f t="shared" si="12"/>
        <v/>
      </c>
      <c r="AP111" s="166" t="str">
        <f t="shared" si="13"/>
        <v/>
      </c>
      <c r="AQ111" s="167" t="str">
        <f t="shared" si="26"/>
        <v/>
      </c>
      <c r="AR111" s="168" t="str">
        <f>IFS(AND(B111&gt;=DATE(2025,1,1), B111&lt;=DATE(2025,1,31)), AQ111/DDashboard!$C$2, AND(B111&gt;=DATE(2025,2,1), B111&lt;=DATE(2025,2,28)), AQ111/DDashboard!$C$3, AND(B111&gt;=DATE(2025,3,1), B111&lt;=DATE(2025,3,31)), AQ111/DDashboard!$C$4, AND(B111&gt;=DATE(2025,4,1), B111&lt;=DATE(2025,4,30)), AQ111/DDashboard!$C$5,AND(B111&gt;=DATE(2025,5,1), B111&lt;=DATE(2025,5,31)), AQ111/DDashboard!$C$6,AND(B111&gt;=DATE(2025,6,1), B111&lt;=DATE(2025,6,30)), AQ111/DDashboard!$C$7,AND(B111&gt;=DATE(2025,7,1), B111&lt;=DATE(2025,7,31)), AQ111/DDashboard!$C$8,AND(B111&gt;=DATE(2025,8,1), B111&lt;=DATE(2025,8,31)), AQ111/DDashboard!$C$9,AND(B111&gt;=DATE(2025,9,1), B111&lt;=DATE(2025,9,30)), AQ111/DDashboard!$C$10,AND(B111&gt;=DATE(2025,10,1), B111&lt;=DATE(2025,10,31)), AQ111/DDashboard!$C$11,AND(B111&gt;=DATE(2025,11,1), B111&lt;=DATE(2025,11,30)), AQ111/DDashboard!$C$12, AND(B111&gt;=DATE(2025,12,1), B111&lt;=DATE(2025,12,31)), AQ111/DDashboard!$C$13, True, "")
</f>
        <v/>
      </c>
      <c r="AS111" s="200" t="str">
        <f t="array" ref="AS111">IF(ISBLANK(C111), "", SUM($AR$9:AR111)
)</f>
        <v/>
      </c>
      <c r="AT111" s="169" t="b">
        <v>0</v>
      </c>
      <c r="AU111" s="169"/>
      <c r="AV111" s="169"/>
      <c r="AW111" s="169"/>
      <c r="AX111" s="183"/>
    </row>
    <row r="112">
      <c r="A112" s="388">
        <v>111.0</v>
      </c>
      <c r="B112" s="184"/>
      <c r="C112" s="185"/>
      <c r="D112" s="400"/>
      <c r="E112" s="187"/>
      <c r="F112" s="188"/>
      <c r="G112" s="397" t="str">
        <f t="shared" si="1"/>
        <v/>
      </c>
      <c r="H112" s="402"/>
      <c r="I112" s="402"/>
      <c r="J112" s="187"/>
      <c r="K112" s="145" t="str">
        <f>IFERROR(__xludf.DUMMYFUNCTION("IF(ISBLANK(C112), """", GOOGLEFINANCE(""NSE:"" &amp; C112,""price""))"),"")</f>
        <v/>
      </c>
      <c r="L112" s="213"/>
      <c r="M112" s="193"/>
      <c r="N112" s="194"/>
      <c r="O112" s="195"/>
      <c r="P112" s="196"/>
      <c r="Q112" s="376"/>
      <c r="R112" s="198"/>
      <c r="S112" s="196"/>
      <c r="T112" s="376"/>
      <c r="U112" s="199" t="str">
        <f t="shared" si="23"/>
        <v/>
      </c>
      <c r="V112" s="200" t="str">
        <f>IFS(AND(B112&gt;=DATE(2025,1,1), B112&lt;=DATE(2025,1,31)), U112/DDashboard!$C$2, AND(B112&gt;=DATE(2025,2,1), B112&lt;=DATE(2025,2,28)), U112/DDashboard!$C$3, AND(B112&gt;=DATE(2025,3,1), B112&lt;=DATE(2025,3,31)), U112/DDashboard!$C$4, AND(B112&gt;=DATE(2025,4,1), B112&lt;=DATE(2025,4,30)), U112/DDashboard!$C$5,AND(B112&gt;=DATE(2025,5,1), B112&lt;=DATE(2025,5,31)), U112/DDashboard!$C$6,AND(B112&gt;=DATE(2025,6,1), B112&lt;=DATE(2025,6,30)), U112/DDashboard!$C$7,AND(B112&gt;=DATE(2025,7,1), B112&lt;=DATE(2025,7,31)), U112/DDashboard!$C$8,AND(B112&gt;=DATE(2025,8,1), B112&lt;=DATE(2025,8,31)), U112/DDashboard!$C$9,AND(B112&gt;=DATE(2025,9,1), B112&lt;=DATE(2025,9,30)), U112/DDashboard!$C$10,AND(B112&gt;=DATE(2025,10,1), B112&lt;=DATE(2025,10,31)), U112/DDashboard!$C$11,AND(B112&gt;=DATE(2025,11,1), B112&lt;=DATE(2025,11,30)), U112/DDashboard!$C$12, AND(B112&gt;=DATE(2025,12,1), B112&lt;=DATE(2025,12,31)), U112/DDashboard!$C$13, True, "")
</f>
        <v/>
      </c>
      <c r="W112" s="201" t="str">
        <f t="shared" si="3"/>
        <v/>
      </c>
      <c r="X112" s="202"/>
      <c r="Y112" s="203"/>
      <c r="Z112" s="391"/>
      <c r="AA112" s="198"/>
      <c r="AB112" s="222"/>
      <c r="AC112" s="223"/>
      <c r="AD112" s="195"/>
      <c r="AE112" s="222"/>
      <c r="AF112" s="223"/>
      <c r="AG112" s="206" t="str">
        <f t="shared" si="4"/>
        <v/>
      </c>
      <c r="AH112" s="385" t="str">
        <f t="shared" si="5"/>
        <v/>
      </c>
      <c r="AI112" s="207" t="str">
        <f t="shared" si="24"/>
        <v/>
      </c>
      <c r="AJ112" s="367" t="str">
        <f t="shared" si="7"/>
        <v/>
      </c>
      <c r="AK112" s="208" t="str">
        <f t="shared" si="25"/>
        <v/>
      </c>
      <c r="AL112" s="207" t="str">
        <f t="shared" si="22"/>
        <v/>
      </c>
      <c r="AM112" s="209" t="str">
        <f>IF(AN112="", "", IF(AN112="Closed", 
    IF(ISNUMBER(AF112), AF112-B112,
        IF(ISNUMBER(AC112), AC112-B112,
            IF(ISNUMBER(Z112), Z112-B112, "")
        )
    ), 
    TODAY()-B112))</f>
        <v/>
      </c>
      <c r="AN112" s="386" t="str">
        <f t="shared" si="11"/>
        <v/>
      </c>
      <c r="AO112" s="366" t="str">
        <f t="shared" si="12"/>
        <v/>
      </c>
      <c r="AP112" s="210" t="str">
        <f t="shared" si="13"/>
        <v/>
      </c>
      <c r="AQ112" s="196" t="str">
        <f t="shared" si="26"/>
        <v/>
      </c>
      <c r="AR112" s="168" t="str">
        <f>IFS(AND(B112&gt;=DATE(2025,1,1), B112&lt;=DATE(2025,1,31)), AQ112/DDashboard!$C$2, AND(B112&gt;=DATE(2025,2,1), B112&lt;=DATE(2025,2,28)), AQ112/DDashboard!$C$3, AND(B112&gt;=DATE(2025,3,1), B112&lt;=DATE(2025,3,31)), AQ112/DDashboard!$C$4, AND(B112&gt;=DATE(2025,4,1), B112&lt;=DATE(2025,4,30)), AQ112/DDashboard!$C$5,AND(B112&gt;=DATE(2025,5,1), B112&lt;=DATE(2025,5,31)), AQ112/DDashboard!$C$6,AND(B112&gt;=DATE(2025,6,1), B112&lt;=DATE(2025,6,30)), AQ112/DDashboard!$C$7,AND(B112&gt;=DATE(2025,7,1), B112&lt;=DATE(2025,7,31)), AQ112/DDashboard!$C$8,AND(B112&gt;=DATE(2025,8,1), B112&lt;=DATE(2025,8,31)), AQ112/DDashboard!$C$9,AND(B112&gt;=DATE(2025,9,1), B112&lt;=DATE(2025,9,30)), AQ112/DDashboard!$C$10,AND(B112&gt;=DATE(2025,10,1), B112&lt;=DATE(2025,10,31)), AQ112/DDashboard!$C$11,AND(B112&gt;=DATE(2025,11,1), B112&lt;=DATE(2025,11,30)), AQ112/DDashboard!$C$12, AND(B112&gt;=DATE(2025,12,1), B112&lt;=DATE(2025,12,31)), AQ112/DDashboard!$C$13, True, "")
</f>
        <v/>
      </c>
      <c r="AS112" s="200" t="str">
        <f t="array" ref="AS112">IF(ISBLANK(C112), "", SUM($AR$9:AR112)
)</f>
        <v/>
      </c>
      <c r="AT112" s="169" t="b">
        <v>0</v>
      </c>
      <c r="AU112" s="169"/>
      <c r="AV112" s="169"/>
      <c r="AW112" s="169"/>
      <c r="AX112" s="387"/>
    </row>
    <row r="113">
      <c r="A113" s="389">
        <v>112.0</v>
      </c>
      <c r="B113" s="138"/>
      <c r="C113" s="139"/>
      <c r="D113" s="401"/>
      <c r="E113" s="141"/>
      <c r="F113" s="142"/>
      <c r="G113" s="398" t="str">
        <f t="shared" si="1"/>
        <v/>
      </c>
      <c r="H113" s="399"/>
      <c r="I113" s="399"/>
      <c r="J113" s="141"/>
      <c r="K113" s="145" t="str">
        <f>IFERROR(__xludf.DUMMYFUNCTION("IF(ISBLANK(C113), """", GOOGLEFINANCE(""NSE:"" &amp; C113,""price""))"),"")</f>
        <v/>
      </c>
      <c r="L113" s="146"/>
      <c r="M113" s="147"/>
      <c r="N113" s="148"/>
      <c r="O113" s="149"/>
      <c r="P113" s="150"/>
      <c r="Q113" s="377"/>
      <c r="R113" s="152"/>
      <c r="S113" s="150"/>
      <c r="T113" s="377"/>
      <c r="U113" s="153" t="str">
        <f t="shared" si="23"/>
        <v/>
      </c>
      <c r="V113" s="154" t="str">
        <f>IFS(AND(B113&gt;=DATE(2025,1,1), B113&lt;=DATE(2025,1,31)), U113/DDashboard!$C$2, AND(B113&gt;=DATE(2025,2,1), B113&lt;=DATE(2025,2,28)), U113/DDashboard!$C$3, AND(B113&gt;=DATE(2025,3,1), B113&lt;=DATE(2025,3,31)), U113/DDashboard!$C$4, AND(B113&gt;=DATE(2025,4,1), B113&lt;=DATE(2025,4,30)), U113/DDashboard!$C$5,AND(B113&gt;=DATE(2025,5,1), B113&lt;=DATE(2025,5,31)), U113/DDashboard!$C$6,AND(B113&gt;=DATE(2025,6,1), B113&lt;=DATE(2025,6,30)), U113/DDashboard!$C$7,AND(B113&gt;=DATE(2025,7,1), B113&lt;=DATE(2025,7,31)), U113/DDashboard!$C$8,AND(B113&gt;=DATE(2025,8,1), B113&lt;=DATE(2025,8,31)), U113/DDashboard!$C$9,AND(B113&gt;=DATE(2025,9,1), B113&lt;=DATE(2025,9,30)), U113/DDashboard!$C$10,AND(B113&gt;=DATE(2025,10,1), B113&lt;=DATE(2025,10,31)), U113/DDashboard!$C$11,AND(B113&gt;=DATE(2025,11,1), B113&lt;=DATE(2025,11,30)), U113/DDashboard!$C$12, AND(B113&gt;=DATE(2025,12,1), B113&lt;=DATE(2025,12,31)), U113/DDashboard!$C$13, True, "")
</f>
        <v/>
      </c>
      <c r="W113" s="65" t="str">
        <f t="shared" si="3"/>
        <v/>
      </c>
      <c r="X113" s="155"/>
      <c r="Y113" s="156"/>
      <c r="Z113" s="392"/>
      <c r="AA113" s="390"/>
      <c r="AB113" s="359"/>
      <c r="AC113" s="360"/>
      <c r="AD113" s="358"/>
      <c r="AE113" s="359"/>
      <c r="AF113" s="360"/>
      <c r="AG113" s="160" t="str">
        <f t="shared" si="4"/>
        <v/>
      </c>
      <c r="AH113" s="393" t="str">
        <f t="shared" si="5"/>
        <v/>
      </c>
      <c r="AI113" s="161" t="str">
        <f t="shared" si="24"/>
        <v/>
      </c>
      <c r="AJ113" s="365" t="str">
        <f t="shared" si="7"/>
        <v/>
      </c>
      <c r="AK113" s="162" t="str">
        <f t="shared" si="25"/>
        <v/>
      </c>
      <c r="AL113" s="161" t="str">
        <f t="shared" si="22"/>
        <v/>
      </c>
      <c r="AM113" s="163" t="str">
        <f>IF(AN113="", "", IF(AN113="Closed", IF(ISNUMBER(AF113), AF113-B113,IF(ISNUMBER(AC113), AC113-B113,IF(ISNUMBER(Z113), Z113-B113, ""))), TODAY()-B113))
</f>
        <v/>
      </c>
      <c r="AN113" s="381" t="str">
        <f t="shared" si="11"/>
        <v/>
      </c>
      <c r="AO113" s="366" t="str">
        <f t="shared" si="12"/>
        <v/>
      </c>
      <c r="AP113" s="166" t="str">
        <f t="shared" si="13"/>
        <v/>
      </c>
      <c r="AQ113" s="167" t="str">
        <f t="shared" si="26"/>
        <v/>
      </c>
      <c r="AR113" s="168" t="str">
        <f>IFS(AND(B113&gt;=DATE(2025,1,1), B113&lt;=DATE(2025,1,31)), AQ113/DDashboard!$C$2, AND(B113&gt;=DATE(2025,2,1), B113&lt;=DATE(2025,2,28)), AQ113/DDashboard!$C$3, AND(B113&gt;=DATE(2025,3,1), B113&lt;=DATE(2025,3,31)), AQ113/DDashboard!$C$4, AND(B113&gt;=DATE(2025,4,1), B113&lt;=DATE(2025,4,30)), AQ113/DDashboard!$C$5,AND(B113&gt;=DATE(2025,5,1), B113&lt;=DATE(2025,5,31)), AQ113/DDashboard!$C$6,AND(B113&gt;=DATE(2025,6,1), B113&lt;=DATE(2025,6,30)), AQ113/DDashboard!$C$7,AND(B113&gt;=DATE(2025,7,1), B113&lt;=DATE(2025,7,31)), AQ113/DDashboard!$C$8,AND(B113&gt;=DATE(2025,8,1), B113&lt;=DATE(2025,8,31)), AQ113/DDashboard!$C$9,AND(B113&gt;=DATE(2025,9,1), B113&lt;=DATE(2025,9,30)), AQ113/DDashboard!$C$10,AND(B113&gt;=DATE(2025,10,1), B113&lt;=DATE(2025,10,31)), AQ113/DDashboard!$C$11,AND(B113&gt;=DATE(2025,11,1), B113&lt;=DATE(2025,11,30)), AQ113/DDashboard!$C$12, AND(B113&gt;=DATE(2025,12,1), B113&lt;=DATE(2025,12,31)), AQ113/DDashboard!$C$13, True, "")
</f>
        <v/>
      </c>
      <c r="AS113" s="200" t="str">
        <f t="array" ref="AS113">IF(ISBLANK(C113), "", SUM($AR$9:AR113)
)</f>
        <v/>
      </c>
      <c r="AT113" s="169" t="b">
        <v>0</v>
      </c>
      <c r="AU113" s="169"/>
      <c r="AV113" s="169"/>
      <c r="AW113" s="169"/>
      <c r="AX113" s="383"/>
    </row>
    <row r="114">
      <c r="A114" s="388">
        <v>113.0</v>
      </c>
      <c r="B114" s="184"/>
      <c r="C114" s="185"/>
      <c r="D114" s="400"/>
      <c r="E114" s="187"/>
      <c r="F114" s="188"/>
      <c r="G114" s="397" t="str">
        <f t="shared" si="1"/>
        <v/>
      </c>
      <c r="H114" s="402"/>
      <c r="I114" s="402"/>
      <c r="J114" s="187"/>
      <c r="K114" s="145" t="str">
        <f>IFERROR(__xludf.DUMMYFUNCTION("IF(ISBLANK(C114), """", GOOGLEFINANCE(""NSE:"" &amp; C114,""price""))"),"")</f>
        <v/>
      </c>
      <c r="L114" s="213"/>
      <c r="M114" s="193"/>
      <c r="N114" s="194"/>
      <c r="O114" s="195"/>
      <c r="P114" s="196"/>
      <c r="Q114" s="376"/>
      <c r="R114" s="198"/>
      <c r="S114" s="196"/>
      <c r="T114" s="376"/>
      <c r="U114" s="199" t="str">
        <f t="shared" si="23"/>
        <v/>
      </c>
      <c r="V114" s="200" t="str">
        <f>IFS(AND(B114&gt;=DATE(2025,1,1), B114&lt;=DATE(2025,1,31)), U114/DDashboard!$C$2, AND(B114&gt;=DATE(2025,2,1), B114&lt;=DATE(2025,2,28)), U114/DDashboard!$C$3, AND(B114&gt;=DATE(2025,3,1), B114&lt;=DATE(2025,3,31)), U114/DDashboard!$C$4, AND(B114&gt;=DATE(2025,4,1), B114&lt;=DATE(2025,4,30)), U114/DDashboard!$C$5,AND(B114&gt;=DATE(2025,5,1), B114&lt;=DATE(2025,5,31)), U114/DDashboard!$C$6,AND(B114&gt;=DATE(2025,6,1), B114&lt;=DATE(2025,6,30)), U114/DDashboard!$C$7,AND(B114&gt;=DATE(2025,7,1), B114&lt;=DATE(2025,7,31)), U114/DDashboard!$C$8,AND(B114&gt;=DATE(2025,8,1), B114&lt;=DATE(2025,8,31)), U114/DDashboard!$C$9,AND(B114&gt;=DATE(2025,9,1), B114&lt;=DATE(2025,9,30)), U114/DDashboard!$C$10,AND(B114&gt;=DATE(2025,10,1), B114&lt;=DATE(2025,10,31)), U114/DDashboard!$C$11,AND(B114&gt;=DATE(2025,11,1), B114&lt;=DATE(2025,11,30)), U114/DDashboard!$C$12, AND(B114&gt;=DATE(2025,12,1), B114&lt;=DATE(2025,12,31)), U114/DDashboard!$C$13, True, "")
</f>
        <v/>
      </c>
      <c r="W114" s="201" t="str">
        <f t="shared" si="3"/>
        <v/>
      </c>
      <c r="X114" s="202"/>
      <c r="Y114" s="203"/>
      <c r="Z114" s="391"/>
      <c r="AA114" s="198"/>
      <c r="AB114" s="222"/>
      <c r="AC114" s="223"/>
      <c r="AD114" s="195"/>
      <c r="AE114" s="222"/>
      <c r="AF114" s="223"/>
      <c r="AG114" s="206" t="str">
        <f t="shared" si="4"/>
        <v/>
      </c>
      <c r="AH114" s="385" t="str">
        <f t="shared" si="5"/>
        <v/>
      </c>
      <c r="AI114" s="207" t="str">
        <f t="shared" si="24"/>
        <v/>
      </c>
      <c r="AJ114" s="367" t="str">
        <f t="shared" si="7"/>
        <v/>
      </c>
      <c r="AK114" s="208" t="str">
        <f t="shared" si="25"/>
        <v/>
      </c>
      <c r="AL114" s="207" t="str">
        <f t="shared" si="22"/>
        <v/>
      </c>
      <c r="AM114" s="209" t="str">
        <f>IF(AN114="", "", IF(AN114="Closed", 
    IF(ISNUMBER(AF114), AF114-B114,
        IF(ISNUMBER(AC114), AC114-B114,
            IF(ISNUMBER(Z114), Z114-B114, "")
        )
    ), 
    TODAY()-B114))</f>
        <v/>
      </c>
      <c r="AN114" s="386" t="str">
        <f t="shared" si="11"/>
        <v/>
      </c>
      <c r="AO114" s="366" t="str">
        <f t="shared" si="12"/>
        <v/>
      </c>
      <c r="AP114" s="210" t="str">
        <f t="shared" si="13"/>
        <v/>
      </c>
      <c r="AQ114" s="196" t="str">
        <f t="shared" si="26"/>
        <v/>
      </c>
      <c r="AR114" s="168" t="str">
        <f>IFS(AND(B114&gt;=DATE(2025,1,1), B114&lt;=DATE(2025,1,31)), AQ114/DDashboard!$C$2, AND(B114&gt;=DATE(2025,2,1), B114&lt;=DATE(2025,2,28)), AQ114/DDashboard!$C$3, AND(B114&gt;=DATE(2025,3,1), B114&lt;=DATE(2025,3,31)), AQ114/DDashboard!$C$4, AND(B114&gt;=DATE(2025,4,1), B114&lt;=DATE(2025,4,30)), AQ114/DDashboard!$C$5,AND(B114&gt;=DATE(2025,5,1), B114&lt;=DATE(2025,5,31)), AQ114/DDashboard!$C$6,AND(B114&gt;=DATE(2025,6,1), B114&lt;=DATE(2025,6,30)), AQ114/DDashboard!$C$7,AND(B114&gt;=DATE(2025,7,1), B114&lt;=DATE(2025,7,31)), AQ114/DDashboard!$C$8,AND(B114&gt;=DATE(2025,8,1), B114&lt;=DATE(2025,8,31)), AQ114/DDashboard!$C$9,AND(B114&gt;=DATE(2025,9,1), B114&lt;=DATE(2025,9,30)), AQ114/DDashboard!$C$10,AND(B114&gt;=DATE(2025,10,1), B114&lt;=DATE(2025,10,31)), AQ114/DDashboard!$C$11,AND(B114&gt;=DATE(2025,11,1), B114&lt;=DATE(2025,11,30)), AQ114/DDashboard!$C$12, AND(B114&gt;=DATE(2025,12,1), B114&lt;=DATE(2025,12,31)), AQ114/DDashboard!$C$13, True, "")
</f>
        <v/>
      </c>
      <c r="AS114" s="200" t="str">
        <f t="array" ref="AS114">IF(ISBLANK(C114), "", SUM($AR$9:AR114)
)</f>
        <v/>
      </c>
      <c r="AT114" s="169" t="b">
        <v>0</v>
      </c>
      <c r="AU114" s="169"/>
      <c r="AV114" s="169"/>
      <c r="AW114" s="169"/>
      <c r="AX114" s="32"/>
    </row>
    <row r="115">
      <c r="A115" s="389">
        <v>114.0</v>
      </c>
      <c r="B115" s="138"/>
      <c r="C115" s="139"/>
      <c r="D115" s="401"/>
      <c r="E115" s="141"/>
      <c r="F115" s="142"/>
      <c r="G115" s="398" t="str">
        <f t="shared" si="1"/>
        <v/>
      </c>
      <c r="H115" s="399"/>
      <c r="I115" s="399"/>
      <c r="J115" s="141"/>
      <c r="K115" s="145" t="str">
        <f>IFERROR(__xludf.DUMMYFUNCTION("IF(ISBLANK(C115), """", GOOGLEFINANCE(""NSE:"" &amp; C115,""price""))"),"")</f>
        <v/>
      </c>
      <c r="L115" s="146"/>
      <c r="M115" s="147"/>
      <c r="N115" s="148"/>
      <c r="O115" s="149"/>
      <c r="P115" s="150"/>
      <c r="Q115" s="377"/>
      <c r="R115" s="152"/>
      <c r="S115" s="150"/>
      <c r="T115" s="377"/>
      <c r="U115" s="153" t="str">
        <f t="shared" si="23"/>
        <v/>
      </c>
      <c r="V115" s="154" t="str">
        <f>IFS(AND(B115&gt;=DATE(2025,1,1), B115&lt;=DATE(2025,1,31)), U115/DDashboard!$C$2, AND(B115&gt;=DATE(2025,2,1), B115&lt;=DATE(2025,2,28)), U115/DDashboard!$C$3, AND(B115&gt;=DATE(2025,3,1), B115&lt;=DATE(2025,3,31)), U115/DDashboard!$C$4, AND(B115&gt;=DATE(2025,4,1), B115&lt;=DATE(2025,4,30)), U115/DDashboard!$C$5,AND(B115&gt;=DATE(2025,5,1), B115&lt;=DATE(2025,5,31)), U115/DDashboard!$C$6,AND(B115&gt;=DATE(2025,6,1), B115&lt;=DATE(2025,6,30)), U115/DDashboard!$C$7,AND(B115&gt;=DATE(2025,7,1), B115&lt;=DATE(2025,7,31)), U115/DDashboard!$C$8,AND(B115&gt;=DATE(2025,8,1), B115&lt;=DATE(2025,8,31)), U115/DDashboard!$C$9,AND(B115&gt;=DATE(2025,9,1), B115&lt;=DATE(2025,9,30)), U115/DDashboard!$C$10,AND(B115&gt;=DATE(2025,10,1), B115&lt;=DATE(2025,10,31)), U115/DDashboard!$C$11,AND(B115&gt;=DATE(2025,11,1), B115&lt;=DATE(2025,11,30)), U115/DDashboard!$C$12, AND(B115&gt;=DATE(2025,12,1), B115&lt;=DATE(2025,12,31)), U115/DDashboard!$C$13, True, "")
</f>
        <v/>
      </c>
      <c r="W115" s="65" t="str">
        <f t="shared" si="3"/>
        <v/>
      </c>
      <c r="X115" s="155"/>
      <c r="Y115" s="156"/>
      <c r="Z115" s="392"/>
      <c r="AA115" s="390"/>
      <c r="AB115" s="359"/>
      <c r="AC115" s="360"/>
      <c r="AD115" s="358"/>
      <c r="AE115" s="359"/>
      <c r="AF115" s="360"/>
      <c r="AG115" s="160" t="str">
        <f t="shared" si="4"/>
        <v/>
      </c>
      <c r="AH115" s="393" t="str">
        <f t="shared" si="5"/>
        <v/>
      </c>
      <c r="AI115" s="161" t="str">
        <f t="shared" si="24"/>
        <v/>
      </c>
      <c r="AJ115" s="365" t="str">
        <f t="shared" si="7"/>
        <v/>
      </c>
      <c r="AK115" s="162" t="str">
        <f t="shared" si="25"/>
        <v/>
      </c>
      <c r="AL115" s="161" t="str">
        <f t="shared" si="22"/>
        <v/>
      </c>
      <c r="AM115" s="163" t="str">
        <f>IF(AN115="", "", IF(AN115="Closed", IF(ISNUMBER(AF115), AF115-B115,IF(ISNUMBER(AC115), AC115-B115,IF(ISNUMBER(Z115), Z115-B115, ""))), TODAY()-B115))
</f>
        <v/>
      </c>
      <c r="AN115" s="381" t="str">
        <f t="shared" si="11"/>
        <v/>
      </c>
      <c r="AO115" s="366" t="str">
        <f t="shared" si="12"/>
        <v/>
      </c>
      <c r="AP115" s="166" t="str">
        <f t="shared" si="13"/>
        <v/>
      </c>
      <c r="AQ115" s="167" t="str">
        <f t="shared" si="26"/>
        <v/>
      </c>
      <c r="AR115" s="168" t="str">
        <f>IFS(AND(B115&gt;=DATE(2025,1,1), B115&lt;=DATE(2025,1,31)), AQ115/DDashboard!$C$2, AND(B115&gt;=DATE(2025,2,1), B115&lt;=DATE(2025,2,28)), AQ115/DDashboard!$C$3, AND(B115&gt;=DATE(2025,3,1), B115&lt;=DATE(2025,3,31)), AQ115/DDashboard!$C$4, AND(B115&gt;=DATE(2025,4,1), B115&lt;=DATE(2025,4,30)), AQ115/DDashboard!$C$5,AND(B115&gt;=DATE(2025,5,1), B115&lt;=DATE(2025,5,31)), AQ115/DDashboard!$C$6,AND(B115&gt;=DATE(2025,6,1), B115&lt;=DATE(2025,6,30)), AQ115/DDashboard!$C$7,AND(B115&gt;=DATE(2025,7,1), B115&lt;=DATE(2025,7,31)), AQ115/DDashboard!$C$8,AND(B115&gt;=DATE(2025,8,1), B115&lt;=DATE(2025,8,31)), AQ115/DDashboard!$C$9,AND(B115&gt;=DATE(2025,9,1), B115&lt;=DATE(2025,9,30)), AQ115/DDashboard!$C$10,AND(B115&gt;=DATE(2025,10,1), B115&lt;=DATE(2025,10,31)), AQ115/DDashboard!$C$11,AND(B115&gt;=DATE(2025,11,1), B115&lt;=DATE(2025,11,30)), AQ115/DDashboard!$C$12, AND(B115&gt;=DATE(2025,12,1), B115&lt;=DATE(2025,12,31)), AQ115/DDashboard!$C$13, True, "")
</f>
        <v/>
      </c>
      <c r="AS115" s="200" t="str">
        <f t="array" ref="AS115">IF(ISBLANK(C115), "", SUM($AR$9:AR115)
)</f>
        <v/>
      </c>
      <c r="AT115" s="169" t="b">
        <v>0</v>
      </c>
      <c r="AU115" s="169"/>
      <c r="AV115" s="169"/>
      <c r="AW115" s="169"/>
      <c r="AX115" s="183"/>
    </row>
    <row r="116">
      <c r="A116" s="388">
        <v>115.0</v>
      </c>
      <c r="B116" s="184"/>
      <c r="C116" s="185"/>
      <c r="D116" s="400"/>
      <c r="E116" s="187"/>
      <c r="F116" s="188"/>
      <c r="G116" s="397" t="str">
        <f t="shared" si="1"/>
        <v/>
      </c>
      <c r="H116" s="402"/>
      <c r="I116" s="402"/>
      <c r="J116" s="187"/>
      <c r="K116" s="145" t="str">
        <f>IFERROR(__xludf.DUMMYFUNCTION("IF(ISBLANK(C116), """", GOOGLEFINANCE(""NSE:"" &amp; C116,""price""))"),"")</f>
        <v/>
      </c>
      <c r="L116" s="213"/>
      <c r="M116" s="193"/>
      <c r="N116" s="194"/>
      <c r="O116" s="195"/>
      <c r="P116" s="196"/>
      <c r="Q116" s="376"/>
      <c r="R116" s="198"/>
      <c r="S116" s="196"/>
      <c r="T116" s="376"/>
      <c r="U116" s="199" t="str">
        <f t="shared" si="23"/>
        <v/>
      </c>
      <c r="V116" s="200" t="str">
        <f>IFS(AND(B116&gt;=DATE(2025,1,1), B116&lt;=DATE(2025,1,31)), U116/DDashboard!$C$2, AND(B116&gt;=DATE(2025,2,1), B116&lt;=DATE(2025,2,28)), U116/DDashboard!$C$3, AND(B116&gt;=DATE(2025,3,1), B116&lt;=DATE(2025,3,31)), U116/DDashboard!$C$4, AND(B116&gt;=DATE(2025,4,1), B116&lt;=DATE(2025,4,30)), U116/DDashboard!$C$5,AND(B116&gt;=DATE(2025,5,1), B116&lt;=DATE(2025,5,31)), U116/DDashboard!$C$6,AND(B116&gt;=DATE(2025,6,1), B116&lt;=DATE(2025,6,30)), U116/DDashboard!$C$7,AND(B116&gt;=DATE(2025,7,1), B116&lt;=DATE(2025,7,31)), U116/DDashboard!$C$8,AND(B116&gt;=DATE(2025,8,1), B116&lt;=DATE(2025,8,31)), U116/DDashboard!$C$9,AND(B116&gt;=DATE(2025,9,1), B116&lt;=DATE(2025,9,30)), U116/DDashboard!$C$10,AND(B116&gt;=DATE(2025,10,1), B116&lt;=DATE(2025,10,31)), U116/DDashboard!$C$11,AND(B116&gt;=DATE(2025,11,1), B116&lt;=DATE(2025,11,30)), U116/DDashboard!$C$12, AND(B116&gt;=DATE(2025,12,1), B116&lt;=DATE(2025,12,31)), U116/DDashboard!$C$13, True, "")
</f>
        <v/>
      </c>
      <c r="W116" s="201" t="str">
        <f t="shared" si="3"/>
        <v/>
      </c>
      <c r="X116" s="202"/>
      <c r="Y116" s="203"/>
      <c r="Z116" s="391"/>
      <c r="AA116" s="198"/>
      <c r="AB116" s="222"/>
      <c r="AC116" s="223"/>
      <c r="AD116" s="195"/>
      <c r="AE116" s="222"/>
      <c r="AF116" s="223"/>
      <c r="AG116" s="206" t="str">
        <f t="shared" si="4"/>
        <v/>
      </c>
      <c r="AH116" s="385" t="str">
        <f t="shared" si="5"/>
        <v/>
      </c>
      <c r="AI116" s="207" t="str">
        <f t="shared" si="24"/>
        <v/>
      </c>
      <c r="AJ116" s="367" t="str">
        <f t="shared" si="7"/>
        <v/>
      </c>
      <c r="AK116" s="208" t="str">
        <f t="shared" si="25"/>
        <v/>
      </c>
      <c r="AL116" s="207" t="str">
        <f t="shared" si="22"/>
        <v/>
      </c>
      <c r="AM116" s="209" t="str">
        <f>IF(AN116="", "", IF(AN116="Closed", 
    IF(ISNUMBER(AF116), AF116-B116,
        IF(ISNUMBER(AC116), AC116-B116,
            IF(ISNUMBER(Z116), Z116-B116, "")
        )
    ), 
    TODAY()-B116))</f>
        <v/>
      </c>
      <c r="AN116" s="386" t="str">
        <f t="shared" si="11"/>
        <v/>
      </c>
      <c r="AO116" s="366" t="str">
        <f t="shared" si="12"/>
        <v/>
      </c>
      <c r="AP116" s="210" t="str">
        <f t="shared" si="13"/>
        <v/>
      </c>
      <c r="AQ116" s="196" t="str">
        <f t="shared" si="26"/>
        <v/>
      </c>
      <c r="AR116" s="168" t="str">
        <f>IFS(AND(B116&gt;=DATE(2025,1,1), B116&lt;=DATE(2025,1,31)), AQ116/DDashboard!$C$2, AND(B116&gt;=DATE(2025,2,1), B116&lt;=DATE(2025,2,28)), AQ116/DDashboard!$C$3, AND(B116&gt;=DATE(2025,3,1), B116&lt;=DATE(2025,3,31)), AQ116/DDashboard!$C$4, AND(B116&gt;=DATE(2025,4,1), B116&lt;=DATE(2025,4,30)), AQ116/DDashboard!$C$5,AND(B116&gt;=DATE(2025,5,1), B116&lt;=DATE(2025,5,31)), AQ116/DDashboard!$C$6,AND(B116&gt;=DATE(2025,6,1), B116&lt;=DATE(2025,6,30)), AQ116/DDashboard!$C$7,AND(B116&gt;=DATE(2025,7,1), B116&lt;=DATE(2025,7,31)), AQ116/DDashboard!$C$8,AND(B116&gt;=DATE(2025,8,1), B116&lt;=DATE(2025,8,31)), AQ116/DDashboard!$C$9,AND(B116&gt;=DATE(2025,9,1), B116&lt;=DATE(2025,9,30)), AQ116/DDashboard!$C$10,AND(B116&gt;=DATE(2025,10,1), B116&lt;=DATE(2025,10,31)), AQ116/DDashboard!$C$11,AND(B116&gt;=DATE(2025,11,1), B116&lt;=DATE(2025,11,30)), AQ116/DDashboard!$C$12, AND(B116&gt;=DATE(2025,12,1), B116&lt;=DATE(2025,12,31)), AQ116/DDashboard!$C$13, True, "")
</f>
        <v/>
      </c>
      <c r="AS116" s="200" t="str">
        <f t="array" ref="AS116">IF(ISBLANK(C116), "", SUM($AR$9:AR116)
)</f>
        <v/>
      </c>
      <c r="AT116" s="169" t="b">
        <v>0</v>
      </c>
      <c r="AU116" s="169"/>
      <c r="AV116" s="169"/>
      <c r="AW116" s="169"/>
      <c r="AX116" s="387"/>
    </row>
    <row r="117">
      <c r="A117" s="389">
        <v>116.0</v>
      </c>
      <c r="B117" s="138"/>
      <c r="C117" s="139"/>
      <c r="D117" s="401"/>
      <c r="E117" s="141"/>
      <c r="F117" s="142"/>
      <c r="G117" s="398" t="str">
        <f t="shared" si="1"/>
        <v/>
      </c>
      <c r="H117" s="399"/>
      <c r="I117" s="399"/>
      <c r="J117" s="141"/>
      <c r="K117" s="145" t="str">
        <f>IFERROR(__xludf.DUMMYFUNCTION("IF(ISBLANK(C117), """", GOOGLEFINANCE(""NSE:"" &amp; C117,""price""))"),"")</f>
        <v/>
      </c>
      <c r="L117" s="146"/>
      <c r="M117" s="147"/>
      <c r="N117" s="148"/>
      <c r="O117" s="149"/>
      <c r="P117" s="150"/>
      <c r="Q117" s="377"/>
      <c r="R117" s="152"/>
      <c r="S117" s="150"/>
      <c r="T117" s="377"/>
      <c r="U117" s="153" t="str">
        <f t="shared" si="23"/>
        <v/>
      </c>
      <c r="V117" s="154" t="str">
        <f>IFS(AND(B117&gt;=DATE(2025,1,1), B117&lt;=DATE(2025,1,31)), U117/DDashboard!$C$2, AND(B117&gt;=DATE(2025,2,1), B117&lt;=DATE(2025,2,28)), U117/DDashboard!$C$3, AND(B117&gt;=DATE(2025,3,1), B117&lt;=DATE(2025,3,31)), U117/DDashboard!$C$4, AND(B117&gt;=DATE(2025,4,1), B117&lt;=DATE(2025,4,30)), U117/DDashboard!$C$5,AND(B117&gt;=DATE(2025,5,1), B117&lt;=DATE(2025,5,31)), U117/DDashboard!$C$6,AND(B117&gt;=DATE(2025,6,1), B117&lt;=DATE(2025,6,30)), U117/DDashboard!$C$7,AND(B117&gt;=DATE(2025,7,1), B117&lt;=DATE(2025,7,31)), U117/DDashboard!$C$8,AND(B117&gt;=DATE(2025,8,1), B117&lt;=DATE(2025,8,31)), U117/DDashboard!$C$9,AND(B117&gt;=DATE(2025,9,1), B117&lt;=DATE(2025,9,30)), U117/DDashboard!$C$10,AND(B117&gt;=DATE(2025,10,1), B117&lt;=DATE(2025,10,31)), U117/DDashboard!$C$11,AND(B117&gt;=DATE(2025,11,1), B117&lt;=DATE(2025,11,30)), U117/DDashboard!$C$12, AND(B117&gt;=DATE(2025,12,1), B117&lt;=DATE(2025,12,31)), U117/DDashboard!$C$13, True, "")
</f>
        <v/>
      </c>
      <c r="W117" s="65" t="str">
        <f t="shared" si="3"/>
        <v/>
      </c>
      <c r="X117" s="155"/>
      <c r="Y117" s="156"/>
      <c r="Z117" s="392"/>
      <c r="AA117" s="390"/>
      <c r="AB117" s="359"/>
      <c r="AC117" s="360"/>
      <c r="AD117" s="358"/>
      <c r="AE117" s="359"/>
      <c r="AF117" s="360"/>
      <c r="AG117" s="160" t="str">
        <f t="shared" si="4"/>
        <v/>
      </c>
      <c r="AH117" s="393" t="str">
        <f t="shared" si="5"/>
        <v/>
      </c>
      <c r="AI117" s="161" t="str">
        <f t="shared" si="24"/>
        <v/>
      </c>
      <c r="AJ117" s="365" t="str">
        <f t="shared" si="7"/>
        <v/>
      </c>
      <c r="AK117" s="162" t="str">
        <f t="shared" si="25"/>
        <v/>
      </c>
      <c r="AL117" s="161" t="str">
        <f t="shared" si="22"/>
        <v/>
      </c>
      <c r="AM117" s="163" t="str">
        <f>IF(AN117="", "", IF(AN117="Closed", IF(ISNUMBER(AF117), AF117-B117,IF(ISNUMBER(AC117), AC117-B117,IF(ISNUMBER(Z117), Z117-B117, ""))), TODAY()-B117))
</f>
        <v/>
      </c>
      <c r="AN117" s="381" t="str">
        <f t="shared" si="11"/>
        <v/>
      </c>
      <c r="AO117" s="366" t="str">
        <f t="shared" si="12"/>
        <v/>
      </c>
      <c r="AP117" s="166" t="str">
        <f t="shared" si="13"/>
        <v/>
      </c>
      <c r="AQ117" s="167" t="str">
        <f t="shared" si="26"/>
        <v/>
      </c>
      <c r="AR117" s="168" t="str">
        <f>IFS(AND(B117&gt;=DATE(2025,1,1), B117&lt;=DATE(2025,1,31)), AQ117/DDashboard!$C$2, AND(B117&gt;=DATE(2025,2,1), B117&lt;=DATE(2025,2,28)), AQ117/DDashboard!$C$3, AND(B117&gt;=DATE(2025,3,1), B117&lt;=DATE(2025,3,31)), AQ117/DDashboard!$C$4, AND(B117&gt;=DATE(2025,4,1), B117&lt;=DATE(2025,4,30)), AQ117/DDashboard!$C$5,AND(B117&gt;=DATE(2025,5,1), B117&lt;=DATE(2025,5,31)), AQ117/DDashboard!$C$6,AND(B117&gt;=DATE(2025,6,1), B117&lt;=DATE(2025,6,30)), AQ117/DDashboard!$C$7,AND(B117&gt;=DATE(2025,7,1), B117&lt;=DATE(2025,7,31)), AQ117/DDashboard!$C$8,AND(B117&gt;=DATE(2025,8,1), B117&lt;=DATE(2025,8,31)), AQ117/DDashboard!$C$9,AND(B117&gt;=DATE(2025,9,1), B117&lt;=DATE(2025,9,30)), AQ117/DDashboard!$C$10,AND(B117&gt;=DATE(2025,10,1), B117&lt;=DATE(2025,10,31)), AQ117/DDashboard!$C$11,AND(B117&gt;=DATE(2025,11,1), B117&lt;=DATE(2025,11,30)), AQ117/DDashboard!$C$12, AND(B117&gt;=DATE(2025,12,1), B117&lt;=DATE(2025,12,31)), AQ117/DDashboard!$C$13, True, "")
</f>
        <v/>
      </c>
      <c r="AS117" s="200" t="str">
        <f t="array" ref="AS117">IF(ISBLANK(C117), "", SUM($AR$9:AR117)
)</f>
        <v/>
      </c>
      <c r="AT117" s="169" t="b">
        <v>0</v>
      </c>
      <c r="AU117" s="169"/>
      <c r="AV117" s="169"/>
      <c r="AW117" s="169"/>
      <c r="AX117" s="383"/>
    </row>
    <row r="118">
      <c r="A118" s="388">
        <v>117.0</v>
      </c>
      <c r="B118" s="184"/>
      <c r="C118" s="185"/>
      <c r="D118" s="404"/>
      <c r="E118" s="404"/>
      <c r="F118" s="188"/>
      <c r="G118" s="397" t="str">
        <f t="shared" si="1"/>
        <v/>
      </c>
      <c r="H118" s="402"/>
      <c r="I118" s="402"/>
      <c r="J118" s="187"/>
      <c r="K118" s="145" t="str">
        <f>IFERROR(__xludf.DUMMYFUNCTION("IF(ISBLANK(C118), """", GOOGLEFINANCE(""NSE:"" &amp; C118,""price""))"),"")</f>
        <v/>
      </c>
      <c r="L118" s="213"/>
      <c r="M118" s="193"/>
      <c r="N118" s="194"/>
      <c r="O118" s="195"/>
      <c r="P118" s="196"/>
      <c r="Q118" s="376"/>
      <c r="R118" s="198"/>
      <c r="S118" s="196"/>
      <c r="T118" s="376"/>
      <c r="U118" s="199" t="str">
        <f t="shared" si="23"/>
        <v/>
      </c>
      <c r="V118" s="200" t="str">
        <f>IFS(AND(B118&gt;=DATE(2025,1,1), B118&lt;=DATE(2025,1,31)), U118/DDashboard!$C$2, AND(B118&gt;=DATE(2025,2,1), B118&lt;=DATE(2025,2,28)), U118/DDashboard!$C$3, AND(B118&gt;=DATE(2025,3,1), B118&lt;=DATE(2025,3,31)), U118/DDashboard!$C$4, AND(B118&gt;=DATE(2025,4,1), B118&lt;=DATE(2025,4,30)), U118/DDashboard!$C$5,AND(B118&gt;=DATE(2025,5,1), B118&lt;=DATE(2025,5,31)), U118/DDashboard!$C$6,AND(B118&gt;=DATE(2025,6,1), B118&lt;=DATE(2025,6,30)), U118/DDashboard!$C$7,AND(B118&gt;=DATE(2025,7,1), B118&lt;=DATE(2025,7,31)), U118/DDashboard!$C$8,AND(B118&gt;=DATE(2025,8,1), B118&lt;=DATE(2025,8,31)), U118/DDashboard!$C$9,AND(B118&gt;=DATE(2025,9,1), B118&lt;=DATE(2025,9,30)), U118/DDashboard!$C$10,AND(B118&gt;=DATE(2025,10,1), B118&lt;=DATE(2025,10,31)), U118/DDashboard!$C$11,AND(B118&gt;=DATE(2025,11,1), B118&lt;=DATE(2025,11,30)), U118/DDashboard!$C$12, AND(B118&gt;=DATE(2025,12,1), B118&lt;=DATE(2025,12,31)), U118/DDashboard!$C$13, True, "")
</f>
        <v/>
      </c>
      <c r="W118" s="201" t="str">
        <f t="shared" si="3"/>
        <v/>
      </c>
      <c r="X118" s="202"/>
      <c r="Y118" s="203"/>
      <c r="Z118" s="391"/>
      <c r="AA118" s="198"/>
      <c r="AB118" s="222"/>
      <c r="AC118" s="223"/>
      <c r="AD118" s="195"/>
      <c r="AE118" s="222"/>
      <c r="AF118" s="223"/>
      <c r="AG118" s="206" t="str">
        <f t="shared" si="4"/>
        <v/>
      </c>
      <c r="AH118" s="385" t="str">
        <f t="shared" si="5"/>
        <v/>
      </c>
      <c r="AI118" s="207" t="str">
        <f t="shared" si="24"/>
        <v/>
      </c>
      <c r="AJ118" s="367" t="str">
        <f t="shared" si="7"/>
        <v/>
      </c>
      <c r="AK118" s="208" t="str">
        <f t="shared" si="25"/>
        <v/>
      </c>
      <c r="AL118" s="207" t="str">
        <f t="shared" si="22"/>
        <v/>
      </c>
      <c r="AM118" s="209" t="str">
        <f>IF(AN118="", "", IF(AN118="Closed", 
    IF(ISNUMBER(AF118), AF118-B118,
        IF(ISNUMBER(AC118), AC118-B118,
            IF(ISNUMBER(Z118), Z118-B118, "")
        )
    ), 
    TODAY()-B118))</f>
        <v/>
      </c>
      <c r="AN118" s="386" t="str">
        <f t="shared" si="11"/>
        <v/>
      </c>
      <c r="AO118" s="366" t="str">
        <f t="shared" si="12"/>
        <v/>
      </c>
      <c r="AP118" s="210" t="str">
        <f t="shared" si="13"/>
        <v/>
      </c>
      <c r="AQ118" s="196" t="str">
        <f t="shared" si="26"/>
        <v/>
      </c>
      <c r="AR118" s="168" t="str">
        <f>IFS(AND(B118&gt;=DATE(2025,1,1), B118&lt;=DATE(2025,1,31)), AQ118/DDashboard!$C$2, AND(B118&gt;=DATE(2025,2,1), B118&lt;=DATE(2025,2,28)), AQ118/DDashboard!$C$3, AND(B118&gt;=DATE(2025,3,1), B118&lt;=DATE(2025,3,31)), AQ118/DDashboard!$C$4, AND(B118&gt;=DATE(2025,4,1), B118&lt;=DATE(2025,4,30)), AQ118/DDashboard!$C$5,AND(B118&gt;=DATE(2025,5,1), B118&lt;=DATE(2025,5,31)), AQ118/DDashboard!$C$6,AND(B118&gt;=DATE(2025,6,1), B118&lt;=DATE(2025,6,30)), AQ118/DDashboard!$C$7,AND(B118&gt;=DATE(2025,7,1), B118&lt;=DATE(2025,7,31)), AQ118/DDashboard!$C$8,AND(B118&gt;=DATE(2025,8,1), B118&lt;=DATE(2025,8,31)), AQ118/DDashboard!$C$9,AND(B118&gt;=DATE(2025,9,1), B118&lt;=DATE(2025,9,30)), AQ118/DDashboard!$C$10,AND(B118&gt;=DATE(2025,10,1), B118&lt;=DATE(2025,10,31)), AQ118/DDashboard!$C$11,AND(B118&gt;=DATE(2025,11,1), B118&lt;=DATE(2025,11,30)), AQ118/DDashboard!$C$12, AND(B118&gt;=DATE(2025,12,1), B118&lt;=DATE(2025,12,31)), AQ118/DDashboard!$C$13, True, "")
</f>
        <v/>
      </c>
      <c r="AS118" s="200" t="str">
        <f t="array" ref="AS118">IF(ISBLANK(C118), "", SUM($AR$9:AR118)
)</f>
        <v/>
      </c>
      <c r="AT118" s="169" t="b">
        <v>0</v>
      </c>
      <c r="AU118" s="169"/>
      <c r="AV118" s="169"/>
      <c r="AW118" s="169"/>
      <c r="AX118" s="387"/>
    </row>
    <row r="119">
      <c r="A119" s="389">
        <v>118.0</v>
      </c>
      <c r="B119" s="138"/>
      <c r="C119" s="139"/>
      <c r="D119" s="403"/>
      <c r="E119" s="403"/>
      <c r="F119" s="142"/>
      <c r="G119" s="398" t="str">
        <f t="shared" si="1"/>
        <v/>
      </c>
      <c r="H119" s="399"/>
      <c r="I119" s="399"/>
      <c r="J119" s="141"/>
      <c r="K119" s="145" t="str">
        <f>IFERROR(__xludf.DUMMYFUNCTION("IF(ISBLANK(C119), """", GOOGLEFINANCE(""NSE:"" &amp; C119,""price""))"),"")</f>
        <v/>
      </c>
      <c r="L119" s="146"/>
      <c r="M119" s="147"/>
      <c r="N119" s="148"/>
      <c r="O119" s="149"/>
      <c r="P119" s="150"/>
      <c r="Q119" s="377"/>
      <c r="R119" s="152"/>
      <c r="S119" s="150"/>
      <c r="T119" s="377"/>
      <c r="U119" s="153" t="str">
        <f t="shared" si="23"/>
        <v/>
      </c>
      <c r="V119" s="154" t="str">
        <f>IFS(AND(B119&gt;=DATE(2025,1,1), B119&lt;=DATE(2025,1,31)), U119/DDashboard!$C$2, AND(B119&gt;=DATE(2025,2,1), B119&lt;=DATE(2025,2,28)), U119/DDashboard!$C$3, AND(B119&gt;=DATE(2025,3,1), B119&lt;=DATE(2025,3,31)), U119/DDashboard!$C$4, AND(B119&gt;=DATE(2025,4,1), B119&lt;=DATE(2025,4,30)), U119/DDashboard!$C$5,AND(B119&gt;=DATE(2025,5,1), B119&lt;=DATE(2025,5,31)), U119/DDashboard!$C$6,AND(B119&gt;=DATE(2025,6,1), B119&lt;=DATE(2025,6,30)), U119/DDashboard!$C$7,AND(B119&gt;=DATE(2025,7,1), B119&lt;=DATE(2025,7,31)), U119/DDashboard!$C$8,AND(B119&gt;=DATE(2025,8,1), B119&lt;=DATE(2025,8,31)), U119/DDashboard!$C$9,AND(B119&gt;=DATE(2025,9,1), B119&lt;=DATE(2025,9,30)), U119/DDashboard!$C$10,AND(B119&gt;=DATE(2025,10,1), B119&lt;=DATE(2025,10,31)), U119/DDashboard!$C$11,AND(B119&gt;=DATE(2025,11,1), B119&lt;=DATE(2025,11,30)), U119/DDashboard!$C$12, AND(B119&gt;=DATE(2025,12,1), B119&lt;=DATE(2025,12,31)), U119/DDashboard!$C$13, True, "")
</f>
        <v/>
      </c>
      <c r="W119" s="65" t="str">
        <f t="shared" si="3"/>
        <v/>
      </c>
      <c r="X119" s="155"/>
      <c r="Y119" s="156"/>
      <c r="Z119" s="392"/>
      <c r="AA119" s="390"/>
      <c r="AB119" s="359"/>
      <c r="AC119" s="360"/>
      <c r="AD119" s="358"/>
      <c r="AE119" s="359"/>
      <c r="AF119" s="360"/>
      <c r="AG119" s="160" t="str">
        <f t="shared" si="4"/>
        <v/>
      </c>
      <c r="AH119" s="393" t="str">
        <f t="shared" si="5"/>
        <v/>
      </c>
      <c r="AI119" s="161" t="str">
        <f t="shared" si="24"/>
        <v/>
      </c>
      <c r="AJ119" s="365" t="str">
        <f t="shared" si="7"/>
        <v/>
      </c>
      <c r="AK119" s="162" t="str">
        <f t="shared" si="25"/>
        <v/>
      </c>
      <c r="AL119" s="161" t="str">
        <f t="shared" si="22"/>
        <v/>
      </c>
      <c r="AM119" s="163" t="str">
        <f>IF(AN119="", "", IF(AN119="Closed", IF(ISNUMBER(AF119), AF119-B119,IF(ISNUMBER(AC119), AC119-B119,IF(ISNUMBER(Z119), Z119-B119, ""))), TODAY()-B119))
</f>
        <v/>
      </c>
      <c r="AN119" s="381" t="str">
        <f t="shared" si="11"/>
        <v/>
      </c>
      <c r="AO119" s="366" t="str">
        <f t="shared" si="12"/>
        <v/>
      </c>
      <c r="AP119" s="166" t="str">
        <f t="shared" si="13"/>
        <v/>
      </c>
      <c r="AQ119" s="167" t="str">
        <f t="shared" si="26"/>
        <v/>
      </c>
      <c r="AR119" s="168" t="str">
        <f>IFS(AND(B119&gt;=DATE(2025,1,1), B119&lt;=DATE(2025,1,31)), AQ119/DDashboard!$C$2, AND(B119&gt;=DATE(2025,2,1), B119&lt;=DATE(2025,2,28)), AQ119/DDashboard!$C$3, AND(B119&gt;=DATE(2025,3,1), B119&lt;=DATE(2025,3,31)), AQ119/DDashboard!$C$4, AND(B119&gt;=DATE(2025,4,1), B119&lt;=DATE(2025,4,30)), AQ119/DDashboard!$C$5,AND(B119&gt;=DATE(2025,5,1), B119&lt;=DATE(2025,5,31)), AQ119/DDashboard!$C$6,AND(B119&gt;=DATE(2025,6,1), B119&lt;=DATE(2025,6,30)), AQ119/DDashboard!$C$7,AND(B119&gt;=DATE(2025,7,1), B119&lt;=DATE(2025,7,31)), AQ119/DDashboard!$C$8,AND(B119&gt;=DATE(2025,8,1), B119&lt;=DATE(2025,8,31)), AQ119/DDashboard!$C$9,AND(B119&gt;=DATE(2025,9,1), B119&lt;=DATE(2025,9,30)), AQ119/DDashboard!$C$10,AND(B119&gt;=DATE(2025,10,1), B119&lt;=DATE(2025,10,31)), AQ119/DDashboard!$C$11,AND(B119&gt;=DATE(2025,11,1), B119&lt;=DATE(2025,11,30)), AQ119/DDashboard!$C$12, AND(B119&gt;=DATE(2025,12,1), B119&lt;=DATE(2025,12,31)), AQ119/DDashboard!$C$13, True, "")
</f>
        <v/>
      </c>
      <c r="AS119" s="200" t="str">
        <f t="array" ref="AS119">IF(ISBLANK(C119), "", SUM($AR$9:AR119)
)</f>
        <v/>
      </c>
      <c r="AT119" s="169" t="b">
        <v>0</v>
      </c>
      <c r="AU119" s="169"/>
      <c r="AV119" s="169"/>
      <c r="AW119" s="169"/>
      <c r="AX119" s="383"/>
    </row>
    <row r="120">
      <c r="A120" s="388">
        <v>119.0</v>
      </c>
      <c r="B120" s="184"/>
      <c r="C120" s="185"/>
      <c r="D120" s="400"/>
      <c r="E120" s="187"/>
      <c r="F120" s="188"/>
      <c r="G120" s="397" t="str">
        <f t="shared" si="1"/>
        <v/>
      </c>
      <c r="H120" s="402"/>
      <c r="I120" s="402"/>
      <c r="J120" s="187"/>
      <c r="K120" s="145" t="str">
        <f>IFERROR(__xludf.DUMMYFUNCTION("IF(ISBLANK(C120), """", GOOGLEFINANCE(""NSE:"" &amp; C120,""price""))"),"")</f>
        <v/>
      </c>
      <c r="L120" s="213"/>
      <c r="M120" s="193"/>
      <c r="N120" s="194"/>
      <c r="O120" s="195"/>
      <c r="P120" s="196"/>
      <c r="Q120" s="376"/>
      <c r="R120" s="198"/>
      <c r="S120" s="196"/>
      <c r="T120" s="376"/>
      <c r="U120" s="199" t="str">
        <f t="shared" si="23"/>
        <v/>
      </c>
      <c r="V120" s="200" t="str">
        <f>IFS(AND(B120&gt;=DATE(2025,1,1), B120&lt;=DATE(2025,1,31)), U120/DDashboard!$C$2, AND(B120&gt;=DATE(2025,2,1), B120&lt;=DATE(2025,2,28)), U120/DDashboard!$C$3, AND(B120&gt;=DATE(2025,3,1), B120&lt;=DATE(2025,3,31)), U120/DDashboard!$C$4, AND(B120&gt;=DATE(2025,4,1), B120&lt;=DATE(2025,4,30)), U120/DDashboard!$C$5,AND(B120&gt;=DATE(2025,5,1), B120&lt;=DATE(2025,5,31)), U120/DDashboard!$C$6,AND(B120&gt;=DATE(2025,6,1), B120&lt;=DATE(2025,6,30)), U120/DDashboard!$C$7,AND(B120&gt;=DATE(2025,7,1), B120&lt;=DATE(2025,7,31)), U120/DDashboard!$C$8,AND(B120&gt;=DATE(2025,8,1), B120&lt;=DATE(2025,8,31)), U120/DDashboard!$C$9,AND(B120&gt;=DATE(2025,9,1), B120&lt;=DATE(2025,9,30)), U120/DDashboard!$C$10,AND(B120&gt;=DATE(2025,10,1), B120&lt;=DATE(2025,10,31)), U120/DDashboard!$C$11,AND(B120&gt;=DATE(2025,11,1), B120&lt;=DATE(2025,11,30)), U120/DDashboard!$C$12, AND(B120&gt;=DATE(2025,12,1), B120&lt;=DATE(2025,12,31)), U120/DDashboard!$C$13, True, "")
</f>
        <v/>
      </c>
      <c r="W120" s="201" t="str">
        <f t="shared" si="3"/>
        <v/>
      </c>
      <c r="X120" s="202"/>
      <c r="Y120" s="203"/>
      <c r="Z120" s="391"/>
      <c r="AA120" s="198"/>
      <c r="AB120" s="222"/>
      <c r="AC120" s="223"/>
      <c r="AD120" s="195"/>
      <c r="AE120" s="222"/>
      <c r="AF120" s="223"/>
      <c r="AG120" s="206" t="str">
        <f t="shared" si="4"/>
        <v/>
      </c>
      <c r="AH120" s="385" t="str">
        <f t="shared" si="5"/>
        <v/>
      </c>
      <c r="AI120" s="207" t="str">
        <f t="shared" si="24"/>
        <v/>
      </c>
      <c r="AJ120" s="367" t="str">
        <f t="shared" si="7"/>
        <v/>
      </c>
      <c r="AK120" s="208" t="str">
        <f t="shared" si="25"/>
        <v/>
      </c>
      <c r="AL120" s="207" t="str">
        <f t="shared" si="22"/>
        <v/>
      </c>
      <c r="AM120" s="209" t="str">
        <f>IF(AN120="", "", IF(AN120="Closed", 
    IF(ISNUMBER(AF120), AF120-B120,
        IF(ISNUMBER(AC120), AC120-B120,
            IF(ISNUMBER(Z120), Z120-B120, "")
        )
    ), 
    TODAY()-B120))</f>
        <v/>
      </c>
      <c r="AN120" s="386" t="str">
        <f t="shared" si="11"/>
        <v/>
      </c>
      <c r="AO120" s="366" t="str">
        <f t="shared" si="12"/>
        <v/>
      </c>
      <c r="AP120" s="210" t="str">
        <f t="shared" si="13"/>
        <v/>
      </c>
      <c r="AQ120" s="196" t="str">
        <f t="shared" si="26"/>
        <v/>
      </c>
      <c r="AR120" s="168" t="str">
        <f>IFS(AND(B120&gt;=DATE(2025,1,1), B120&lt;=DATE(2025,1,31)), AQ120/DDashboard!$C$2, AND(B120&gt;=DATE(2025,2,1), B120&lt;=DATE(2025,2,28)), AQ120/DDashboard!$C$3, AND(B120&gt;=DATE(2025,3,1), B120&lt;=DATE(2025,3,31)), AQ120/DDashboard!$C$4, AND(B120&gt;=DATE(2025,4,1), B120&lt;=DATE(2025,4,30)), AQ120/DDashboard!$C$5,AND(B120&gt;=DATE(2025,5,1), B120&lt;=DATE(2025,5,31)), AQ120/DDashboard!$C$6,AND(B120&gt;=DATE(2025,6,1), B120&lt;=DATE(2025,6,30)), AQ120/DDashboard!$C$7,AND(B120&gt;=DATE(2025,7,1), B120&lt;=DATE(2025,7,31)), AQ120/DDashboard!$C$8,AND(B120&gt;=DATE(2025,8,1), B120&lt;=DATE(2025,8,31)), AQ120/DDashboard!$C$9,AND(B120&gt;=DATE(2025,9,1), B120&lt;=DATE(2025,9,30)), AQ120/DDashboard!$C$10,AND(B120&gt;=DATE(2025,10,1), B120&lt;=DATE(2025,10,31)), AQ120/DDashboard!$C$11,AND(B120&gt;=DATE(2025,11,1), B120&lt;=DATE(2025,11,30)), AQ120/DDashboard!$C$12, AND(B120&gt;=DATE(2025,12,1), B120&lt;=DATE(2025,12,31)), AQ120/DDashboard!$C$13, True, "")
</f>
        <v/>
      </c>
      <c r="AS120" s="200" t="str">
        <f t="array" ref="AS120">IF(ISBLANK(C120), "", SUM($AR$9:AR120)
)</f>
        <v/>
      </c>
      <c r="AT120" s="169" t="b">
        <v>0</v>
      </c>
      <c r="AU120" s="169"/>
      <c r="AV120" s="169"/>
      <c r="AW120" s="169"/>
      <c r="AX120" s="387"/>
    </row>
    <row r="121">
      <c r="A121" s="389">
        <v>120.0</v>
      </c>
      <c r="B121" s="138"/>
      <c r="C121" s="139"/>
      <c r="D121" s="401"/>
      <c r="E121" s="141"/>
      <c r="F121" s="142"/>
      <c r="G121" s="398" t="str">
        <f t="shared" si="1"/>
        <v/>
      </c>
      <c r="H121" s="399"/>
      <c r="I121" s="399"/>
      <c r="J121" s="141"/>
      <c r="K121" s="145" t="str">
        <f>IFERROR(__xludf.DUMMYFUNCTION("IF(ISBLANK(C121), """", GOOGLEFINANCE(""NSE:"" &amp; C121,""price""))"),"")</f>
        <v/>
      </c>
      <c r="L121" s="146"/>
      <c r="M121" s="147"/>
      <c r="N121" s="148"/>
      <c r="O121" s="149"/>
      <c r="P121" s="150"/>
      <c r="Q121" s="377"/>
      <c r="R121" s="152"/>
      <c r="S121" s="150"/>
      <c r="T121" s="377"/>
      <c r="U121" s="153" t="str">
        <f t="shared" si="23"/>
        <v/>
      </c>
      <c r="V121" s="154" t="str">
        <f>IFS(AND(B121&gt;=DATE(2025,1,1), B121&lt;=DATE(2025,1,31)), U121/DDashboard!$C$2, AND(B121&gt;=DATE(2025,2,1), B121&lt;=DATE(2025,2,28)), U121/DDashboard!$C$3, AND(B121&gt;=DATE(2025,3,1), B121&lt;=DATE(2025,3,31)), U121/DDashboard!$C$4, AND(B121&gt;=DATE(2025,4,1), B121&lt;=DATE(2025,4,30)), U121/DDashboard!$C$5,AND(B121&gt;=DATE(2025,5,1), B121&lt;=DATE(2025,5,31)), U121/DDashboard!$C$6,AND(B121&gt;=DATE(2025,6,1), B121&lt;=DATE(2025,6,30)), U121/DDashboard!$C$7,AND(B121&gt;=DATE(2025,7,1), B121&lt;=DATE(2025,7,31)), U121/DDashboard!$C$8,AND(B121&gt;=DATE(2025,8,1), B121&lt;=DATE(2025,8,31)), U121/DDashboard!$C$9,AND(B121&gt;=DATE(2025,9,1), B121&lt;=DATE(2025,9,30)), U121/DDashboard!$C$10,AND(B121&gt;=DATE(2025,10,1), B121&lt;=DATE(2025,10,31)), U121/DDashboard!$C$11,AND(B121&gt;=DATE(2025,11,1), B121&lt;=DATE(2025,11,30)), U121/DDashboard!$C$12, AND(B121&gt;=DATE(2025,12,1), B121&lt;=DATE(2025,12,31)), U121/DDashboard!$C$13, True, "")
</f>
        <v/>
      </c>
      <c r="W121" s="65" t="str">
        <f t="shared" si="3"/>
        <v/>
      </c>
      <c r="X121" s="155"/>
      <c r="Y121" s="156"/>
      <c r="Z121" s="392"/>
      <c r="AA121" s="390"/>
      <c r="AB121" s="359"/>
      <c r="AC121" s="360"/>
      <c r="AD121" s="358"/>
      <c r="AE121" s="359"/>
      <c r="AF121" s="360"/>
      <c r="AG121" s="160" t="str">
        <f t="shared" si="4"/>
        <v/>
      </c>
      <c r="AH121" s="393" t="str">
        <f t="shared" si="5"/>
        <v/>
      </c>
      <c r="AI121" s="161" t="str">
        <f t="shared" si="24"/>
        <v/>
      </c>
      <c r="AJ121" s="365" t="str">
        <f t="shared" si="7"/>
        <v/>
      </c>
      <c r="AK121" s="162" t="str">
        <f t="shared" si="25"/>
        <v/>
      </c>
      <c r="AL121" s="161" t="str">
        <f t="shared" si="22"/>
        <v/>
      </c>
      <c r="AM121" s="163" t="str">
        <f>IF(AN121="", "", IF(AN121="Closed", IF(ISNUMBER(AF121), AF121-B121,IF(ISNUMBER(AC121), AC121-B121,IF(ISNUMBER(Z121), Z121-B121, ""))), TODAY()-B121))
</f>
        <v/>
      </c>
      <c r="AN121" s="381" t="str">
        <f t="shared" si="11"/>
        <v/>
      </c>
      <c r="AO121" s="366" t="str">
        <f t="shared" si="12"/>
        <v/>
      </c>
      <c r="AP121" s="166" t="str">
        <f t="shared" si="13"/>
        <v/>
      </c>
      <c r="AQ121" s="167" t="str">
        <f t="shared" si="26"/>
        <v/>
      </c>
      <c r="AR121" s="168" t="str">
        <f>IFS(AND(B121&gt;=DATE(2025,1,1), B121&lt;=DATE(2025,1,31)), AQ121/DDashboard!$C$2, AND(B121&gt;=DATE(2025,2,1), B121&lt;=DATE(2025,2,28)), AQ121/DDashboard!$C$3, AND(B121&gt;=DATE(2025,3,1), B121&lt;=DATE(2025,3,31)), AQ121/DDashboard!$C$4, AND(B121&gt;=DATE(2025,4,1), B121&lt;=DATE(2025,4,30)), AQ121/DDashboard!$C$5,AND(B121&gt;=DATE(2025,5,1), B121&lt;=DATE(2025,5,31)), AQ121/DDashboard!$C$6,AND(B121&gt;=DATE(2025,6,1), B121&lt;=DATE(2025,6,30)), AQ121/DDashboard!$C$7,AND(B121&gt;=DATE(2025,7,1), B121&lt;=DATE(2025,7,31)), AQ121/DDashboard!$C$8,AND(B121&gt;=DATE(2025,8,1), B121&lt;=DATE(2025,8,31)), AQ121/DDashboard!$C$9,AND(B121&gt;=DATE(2025,9,1), B121&lt;=DATE(2025,9,30)), AQ121/DDashboard!$C$10,AND(B121&gt;=DATE(2025,10,1), B121&lt;=DATE(2025,10,31)), AQ121/DDashboard!$C$11,AND(B121&gt;=DATE(2025,11,1), B121&lt;=DATE(2025,11,30)), AQ121/DDashboard!$C$12, AND(B121&gt;=DATE(2025,12,1), B121&lt;=DATE(2025,12,31)), AQ121/DDashboard!$C$13, True, "")
</f>
        <v/>
      </c>
      <c r="AS121" s="200" t="str">
        <f t="array" ref="AS121">IF(ISBLANK(C121), "", SUM($AR$9:AR121)
)</f>
        <v/>
      </c>
      <c r="AT121" s="169" t="b">
        <v>0</v>
      </c>
      <c r="AU121" s="169"/>
      <c r="AV121" s="169"/>
      <c r="AW121" s="169"/>
      <c r="AX121" s="383"/>
    </row>
    <row r="122">
      <c r="A122" s="388">
        <v>121.0</v>
      </c>
      <c r="B122" s="184"/>
      <c r="C122" s="185"/>
      <c r="D122" s="404"/>
      <c r="E122" s="404"/>
      <c r="F122" s="188"/>
      <c r="G122" s="397" t="str">
        <f t="shared" si="1"/>
        <v/>
      </c>
      <c r="H122" s="190"/>
      <c r="I122" s="402"/>
      <c r="J122" s="187"/>
      <c r="K122" s="145" t="str">
        <f>IFERROR(__xludf.DUMMYFUNCTION("IF(ISBLANK(C122), """", GOOGLEFINANCE(""NSE:"" &amp; C122,""price""))"),"")</f>
        <v/>
      </c>
      <c r="L122" s="213"/>
      <c r="M122" s="193"/>
      <c r="N122" s="194"/>
      <c r="O122" s="205"/>
      <c r="P122" s="228"/>
      <c r="Q122" s="370"/>
      <c r="R122" s="198"/>
      <c r="S122" s="196"/>
      <c r="T122" s="376"/>
      <c r="U122" s="199" t="str">
        <f t="shared" si="23"/>
        <v/>
      </c>
      <c r="V122" s="200" t="str">
        <f>IFS(AND(B122&gt;=DATE(2025,1,1), B122&lt;=DATE(2025,1,31)), U122/DDashboard!$C$2, AND(B122&gt;=DATE(2025,2,1), B122&lt;=DATE(2025,2,28)), U122/DDashboard!$C$3, AND(B122&gt;=DATE(2025,3,1), B122&lt;=DATE(2025,3,31)), U122/DDashboard!$C$4, AND(B122&gt;=DATE(2025,4,1), B122&lt;=DATE(2025,4,30)), U122/DDashboard!$C$5,AND(B122&gt;=DATE(2025,5,1), B122&lt;=DATE(2025,5,31)), U122/DDashboard!$C$6,AND(B122&gt;=DATE(2025,6,1), B122&lt;=DATE(2025,6,30)), U122/DDashboard!$C$7,AND(B122&gt;=DATE(2025,7,1), B122&lt;=DATE(2025,7,31)), U122/DDashboard!$C$8,AND(B122&gt;=DATE(2025,8,1), B122&lt;=DATE(2025,8,31)), U122/DDashboard!$C$9,AND(B122&gt;=DATE(2025,9,1), B122&lt;=DATE(2025,9,30)), U122/DDashboard!$C$10,AND(B122&gt;=DATE(2025,10,1), B122&lt;=DATE(2025,10,31)), U122/DDashboard!$C$11,AND(B122&gt;=DATE(2025,11,1), B122&lt;=DATE(2025,11,30)), U122/DDashboard!$C$12, AND(B122&gt;=DATE(2025,12,1), B122&lt;=DATE(2025,12,31)), U122/DDashboard!$C$13, True, "")
</f>
        <v/>
      </c>
      <c r="W122" s="201" t="str">
        <f t="shared" si="3"/>
        <v/>
      </c>
      <c r="X122" s="202"/>
      <c r="Y122" s="203"/>
      <c r="Z122" s="391"/>
      <c r="AA122" s="198"/>
      <c r="AB122" s="222"/>
      <c r="AC122" s="223"/>
      <c r="AD122" s="195"/>
      <c r="AE122" s="222"/>
      <c r="AF122" s="223"/>
      <c r="AG122" s="206" t="str">
        <f t="shared" si="4"/>
        <v/>
      </c>
      <c r="AH122" s="385" t="str">
        <f t="shared" si="5"/>
        <v/>
      </c>
      <c r="AI122" s="207" t="str">
        <f t="shared" si="24"/>
        <v/>
      </c>
      <c r="AJ122" s="367" t="str">
        <f t="shared" si="7"/>
        <v/>
      </c>
      <c r="AK122" s="208" t="str">
        <f t="shared" si="25"/>
        <v/>
      </c>
      <c r="AL122" s="207" t="str">
        <f t="shared" si="22"/>
        <v/>
      </c>
      <c r="AM122" s="209" t="str">
        <f>IF(AN122="", "", IF(AN122="Closed", 
    IF(ISNUMBER(AF122), AF122-B122,
        IF(ISNUMBER(AC122), AC122-B122,
            IF(ISNUMBER(Z122), Z122-B122, "")
        )
    ), 
    TODAY()-B122))</f>
        <v/>
      </c>
      <c r="AN122" s="386" t="str">
        <f t="shared" si="11"/>
        <v/>
      </c>
      <c r="AO122" s="366" t="str">
        <f t="shared" si="12"/>
        <v/>
      </c>
      <c r="AP122" s="210" t="str">
        <f t="shared" si="13"/>
        <v/>
      </c>
      <c r="AQ122" s="196" t="str">
        <f t="shared" si="26"/>
        <v/>
      </c>
      <c r="AR122" s="168" t="str">
        <f>IFS(AND(B122&gt;=DATE(2025,1,1), B122&lt;=DATE(2025,1,31)), AQ122/DDashboard!$C$2, AND(B122&gt;=DATE(2025,2,1), B122&lt;=DATE(2025,2,28)), AQ122/DDashboard!$C$3, AND(B122&gt;=DATE(2025,3,1), B122&lt;=DATE(2025,3,31)), AQ122/DDashboard!$C$4, AND(B122&gt;=DATE(2025,4,1), B122&lt;=DATE(2025,4,30)), AQ122/DDashboard!$C$5,AND(B122&gt;=DATE(2025,5,1), B122&lt;=DATE(2025,5,31)), AQ122/DDashboard!$C$6,AND(B122&gt;=DATE(2025,6,1), B122&lt;=DATE(2025,6,30)), AQ122/DDashboard!$C$7,AND(B122&gt;=DATE(2025,7,1), B122&lt;=DATE(2025,7,31)), AQ122/DDashboard!$C$8,AND(B122&gt;=DATE(2025,8,1), B122&lt;=DATE(2025,8,31)), AQ122/DDashboard!$C$9,AND(B122&gt;=DATE(2025,9,1), B122&lt;=DATE(2025,9,30)), AQ122/DDashboard!$C$10,AND(B122&gt;=DATE(2025,10,1), B122&lt;=DATE(2025,10,31)), AQ122/DDashboard!$C$11,AND(B122&gt;=DATE(2025,11,1), B122&lt;=DATE(2025,11,30)), AQ122/DDashboard!$C$12, AND(B122&gt;=DATE(2025,12,1), B122&lt;=DATE(2025,12,31)), AQ122/DDashboard!$C$13, True, "")
</f>
        <v/>
      </c>
      <c r="AS122" s="200" t="str">
        <f t="array" ref="AS122">IF(ISBLANK(C122), "", SUM($AR$9:AR122)
)</f>
        <v/>
      </c>
      <c r="AT122" s="169" t="b">
        <v>0</v>
      </c>
      <c r="AU122" s="169"/>
      <c r="AV122" s="169"/>
      <c r="AW122" s="169"/>
      <c r="AX122" s="32"/>
    </row>
    <row r="123">
      <c r="A123" s="389">
        <v>122.0</v>
      </c>
      <c r="B123" s="138"/>
      <c r="C123" s="139"/>
      <c r="D123" s="403"/>
      <c r="E123" s="403"/>
      <c r="F123" s="142"/>
      <c r="G123" s="398" t="str">
        <f t="shared" si="1"/>
        <v/>
      </c>
      <c r="H123" s="144"/>
      <c r="I123" s="399"/>
      <c r="J123" s="141"/>
      <c r="K123" s="145" t="str">
        <f>IFERROR(__xludf.DUMMYFUNCTION("IF(ISBLANK(C123), """", GOOGLEFINANCE(""NSE:"" &amp; C123,""price""))"),"")</f>
        <v/>
      </c>
      <c r="L123" s="146"/>
      <c r="M123" s="147"/>
      <c r="N123" s="148"/>
      <c r="O123" s="225"/>
      <c r="P123" s="226"/>
      <c r="Q123" s="368"/>
      <c r="R123" s="152"/>
      <c r="S123" s="150"/>
      <c r="T123" s="377"/>
      <c r="U123" s="153" t="str">
        <f t="shared" si="23"/>
        <v/>
      </c>
      <c r="V123" s="154" t="str">
        <f>IFS(AND(B123&gt;=DATE(2025,1,1), B123&lt;=DATE(2025,1,31)), U123/DDashboard!$C$2, AND(B123&gt;=DATE(2025,2,1), B123&lt;=DATE(2025,2,28)), U123/DDashboard!$C$3, AND(B123&gt;=DATE(2025,3,1), B123&lt;=DATE(2025,3,31)), U123/DDashboard!$C$4, AND(B123&gt;=DATE(2025,4,1), B123&lt;=DATE(2025,4,30)), U123/DDashboard!$C$5,AND(B123&gt;=DATE(2025,5,1), B123&lt;=DATE(2025,5,31)), U123/DDashboard!$C$6,AND(B123&gt;=DATE(2025,6,1), B123&lt;=DATE(2025,6,30)), U123/DDashboard!$C$7,AND(B123&gt;=DATE(2025,7,1), B123&lt;=DATE(2025,7,31)), U123/DDashboard!$C$8,AND(B123&gt;=DATE(2025,8,1), B123&lt;=DATE(2025,8,31)), U123/DDashboard!$C$9,AND(B123&gt;=DATE(2025,9,1), B123&lt;=DATE(2025,9,30)), U123/DDashboard!$C$10,AND(B123&gt;=DATE(2025,10,1), B123&lt;=DATE(2025,10,31)), U123/DDashboard!$C$11,AND(B123&gt;=DATE(2025,11,1), B123&lt;=DATE(2025,11,30)), U123/DDashboard!$C$12, AND(B123&gt;=DATE(2025,12,1), B123&lt;=DATE(2025,12,31)), U123/DDashboard!$C$13, True, "")
</f>
        <v/>
      </c>
      <c r="W123" s="65" t="str">
        <f t="shared" si="3"/>
        <v/>
      </c>
      <c r="X123" s="155"/>
      <c r="Y123" s="156"/>
      <c r="Z123" s="392"/>
      <c r="AA123" s="390"/>
      <c r="AB123" s="359"/>
      <c r="AC123" s="360"/>
      <c r="AD123" s="358"/>
      <c r="AE123" s="359"/>
      <c r="AF123" s="360"/>
      <c r="AG123" s="160" t="str">
        <f t="shared" si="4"/>
        <v/>
      </c>
      <c r="AH123" s="393" t="str">
        <f t="shared" si="5"/>
        <v/>
      </c>
      <c r="AI123" s="161" t="str">
        <f t="shared" si="24"/>
        <v/>
      </c>
      <c r="AJ123" s="365" t="str">
        <f t="shared" si="7"/>
        <v/>
      </c>
      <c r="AK123" s="162" t="str">
        <f t="shared" si="25"/>
        <v/>
      </c>
      <c r="AL123" s="161" t="str">
        <f t="shared" si="22"/>
        <v/>
      </c>
      <c r="AM123" s="163" t="str">
        <f>IF(AN123="", "", IF(AN123="Closed", IF(ISNUMBER(AF123), AF123-B123,IF(ISNUMBER(AC123), AC123-B123,IF(ISNUMBER(Z123), Z123-B123, ""))), TODAY()-B123))
</f>
        <v/>
      </c>
      <c r="AN123" s="381" t="str">
        <f t="shared" si="11"/>
        <v/>
      </c>
      <c r="AO123" s="366" t="str">
        <f t="shared" si="12"/>
        <v/>
      </c>
      <c r="AP123" s="166" t="str">
        <f t="shared" si="13"/>
        <v/>
      </c>
      <c r="AQ123" s="167" t="str">
        <f t="shared" si="26"/>
        <v/>
      </c>
      <c r="AR123" s="168" t="str">
        <f>IFS(AND(B123&gt;=DATE(2025,1,1), B123&lt;=DATE(2025,1,31)), AQ123/DDashboard!$C$2, AND(B123&gt;=DATE(2025,2,1), B123&lt;=DATE(2025,2,28)), AQ123/DDashboard!$C$3, AND(B123&gt;=DATE(2025,3,1), B123&lt;=DATE(2025,3,31)), AQ123/DDashboard!$C$4, AND(B123&gt;=DATE(2025,4,1), B123&lt;=DATE(2025,4,30)), AQ123/DDashboard!$C$5,AND(B123&gt;=DATE(2025,5,1), B123&lt;=DATE(2025,5,31)), AQ123/DDashboard!$C$6,AND(B123&gt;=DATE(2025,6,1), B123&lt;=DATE(2025,6,30)), AQ123/DDashboard!$C$7,AND(B123&gt;=DATE(2025,7,1), B123&lt;=DATE(2025,7,31)), AQ123/DDashboard!$C$8,AND(B123&gt;=DATE(2025,8,1), B123&lt;=DATE(2025,8,31)), AQ123/DDashboard!$C$9,AND(B123&gt;=DATE(2025,9,1), B123&lt;=DATE(2025,9,30)), AQ123/DDashboard!$C$10,AND(B123&gt;=DATE(2025,10,1), B123&lt;=DATE(2025,10,31)), AQ123/DDashboard!$C$11,AND(B123&gt;=DATE(2025,11,1), B123&lt;=DATE(2025,11,30)), AQ123/DDashboard!$C$12, AND(B123&gt;=DATE(2025,12,1), B123&lt;=DATE(2025,12,31)), AQ123/DDashboard!$C$13, True, "")
</f>
        <v/>
      </c>
      <c r="AS123" s="200" t="str">
        <f t="array" ref="AS123">IF(ISBLANK(C123), "", SUM($AR$9:AR123)
)</f>
        <v/>
      </c>
      <c r="AT123" s="169" t="b">
        <v>0</v>
      </c>
      <c r="AU123" s="169"/>
      <c r="AV123" s="169"/>
      <c r="AW123" s="169"/>
      <c r="AX123" s="183"/>
    </row>
    <row r="124">
      <c r="A124" s="388">
        <v>123.0</v>
      </c>
      <c r="B124" s="184"/>
      <c r="C124" s="185"/>
      <c r="D124" s="400"/>
      <c r="E124" s="187"/>
      <c r="F124" s="188"/>
      <c r="G124" s="397" t="str">
        <f t="shared" si="1"/>
        <v/>
      </c>
      <c r="H124" s="402"/>
      <c r="I124" s="402"/>
      <c r="J124" s="187"/>
      <c r="K124" s="145" t="str">
        <f>IFERROR(__xludf.DUMMYFUNCTION("IF(ISBLANK(C124), """", GOOGLEFINANCE(""NSE:"" &amp; C124,""price""))"),"")</f>
        <v/>
      </c>
      <c r="L124" s="213"/>
      <c r="M124" s="193"/>
      <c r="N124" s="194"/>
      <c r="O124" s="195"/>
      <c r="P124" s="196"/>
      <c r="Q124" s="376"/>
      <c r="R124" s="198"/>
      <c r="S124" s="196"/>
      <c r="T124" s="376"/>
      <c r="U124" s="199" t="str">
        <f t="shared" si="23"/>
        <v/>
      </c>
      <c r="V124" s="200" t="str">
        <f>IFS(AND(B124&gt;=DATE(2025,1,1), B124&lt;=DATE(2025,1,31)), U124/DDashboard!$C$2, AND(B124&gt;=DATE(2025,2,1), B124&lt;=DATE(2025,2,28)), U124/DDashboard!$C$3, AND(B124&gt;=DATE(2025,3,1), B124&lt;=DATE(2025,3,31)), U124/DDashboard!$C$4, AND(B124&gt;=DATE(2025,4,1), B124&lt;=DATE(2025,4,30)), U124/DDashboard!$C$5,AND(B124&gt;=DATE(2025,5,1), B124&lt;=DATE(2025,5,31)), U124/DDashboard!$C$6,AND(B124&gt;=DATE(2025,6,1), B124&lt;=DATE(2025,6,30)), U124/DDashboard!$C$7,AND(B124&gt;=DATE(2025,7,1), B124&lt;=DATE(2025,7,31)), U124/DDashboard!$C$8,AND(B124&gt;=DATE(2025,8,1), B124&lt;=DATE(2025,8,31)), U124/DDashboard!$C$9,AND(B124&gt;=DATE(2025,9,1), B124&lt;=DATE(2025,9,30)), U124/DDashboard!$C$10,AND(B124&gt;=DATE(2025,10,1), B124&lt;=DATE(2025,10,31)), U124/DDashboard!$C$11,AND(B124&gt;=DATE(2025,11,1), B124&lt;=DATE(2025,11,30)), U124/DDashboard!$C$12, AND(B124&gt;=DATE(2025,12,1), B124&lt;=DATE(2025,12,31)), U124/DDashboard!$C$13, True, "")
</f>
        <v/>
      </c>
      <c r="W124" s="201" t="str">
        <f t="shared" si="3"/>
        <v/>
      </c>
      <c r="X124" s="202"/>
      <c r="Y124" s="203"/>
      <c r="Z124" s="391"/>
      <c r="AA124" s="198"/>
      <c r="AB124" s="222"/>
      <c r="AC124" s="223"/>
      <c r="AD124" s="195"/>
      <c r="AE124" s="222"/>
      <c r="AF124" s="223"/>
      <c r="AG124" s="206" t="str">
        <f t="shared" si="4"/>
        <v/>
      </c>
      <c r="AH124" s="385" t="str">
        <f t="shared" si="5"/>
        <v/>
      </c>
      <c r="AI124" s="207" t="str">
        <f t="shared" si="24"/>
        <v/>
      </c>
      <c r="AJ124" s="367" t="str">
        <f t="shared" si="7"/>
        <v/>
      </c>
      <c r="AK124" s="208" t="str">
        <f t="shared" si="25"/>
        <v/>
      </c>
      <c r="AL124" s="207" t="str">
        <f t="shared" si="22"/>
        <v/>
      </c>
      <c r="AM124" s="209" t="str">
        <f>IF(AN124="", "", IF(AN124="Closed", 
    IF(ISNUMBER(AF124), AF124-B124,
        IF(ISNUMBER(AC124), AC124-B124,
            IF(ISNUMBER(Z124), Z124-B124, "")
        )
    ), 
    TODAY()-B124))</f>
        <v/>
      </c>
      <c r="AN124" s="386" t="str">
        <f t="shared" si="11"/>
        <v/>
      </c>
      <c r="AO124" s="366" t="str">
        <f t="shared" si="12"/>
        <v/>
      </c>
      <c r="AP124" s="210" t="str">
        <f t="shared" si="13"/>
        <v/>
      </c>
      <c r="AQ124" s="196" t="str">
        <f t="shared" si="26"/>
        <v/>
      </c>
      <c r="AR124" s="168" t="str">
        <f>IFS(AND(B124&gt;=DATE(2025,1,1), B124&lt;=DATE(2025,1,31)), AQ124/DDashboard!$C$2, AND(B124&gt;=DATE(2025,2,1), B124&lt;=DATE(2025,2,28)), AQ124/DDashboard!$C$3, AND(B124&gt;=DATE(2025,3,1), B124&lt;=DATE(2025,3,31)), AQ124/DDashboard!$C$4, AND(B124&gt;=DATE(2025,4,1), B124&lt;=DATE(2025,4,30)), AQ124/DDashboard!$C$5,AND(B124&gt;=DATE(2025,5,1), B124&lt;=DATE(2025,5,31)), AQ124/DDashboard!$C$6,AND(B124&gt;=DATE(2025,6,1), B124&lt;=DATE(2025,6,30)), AQ124/DDashboard!$C$7,AND(B124&gt;=DATE(2025,7,1), B124&lt;=DATE(2025,7,31)), AQ124/DDashboard!$C$8,AND(B124&gt;=DATE(2025,8,1), B124&lt;=DATE(2025,8,31)), AQ124/DDashboard!$C$9,AND(B124&gt;=DATE(2025,9,1), B124&lt;=DATE(2025,9,30)), AQ124/DDashboard!$C$10,AND(B124&gt;=DATE(2025,10,1), B124&lt;=DATE(2025,10,31)), AQ124/DDashboard!$C$11,AND(B124&gt;=DATE(2025,11,1), B124&lt;=DATE(2025,11,30)), AQ124/DDashboard!$C$12, AND(B124&gt;=DATE(2025,12,1), B124&lt;=DATE(2025,12,31)), AQ124/DDashboard!$C$13, True, "")
</f>
        <v/>
      </c>
      <c r="AS124" s="200" t="str">
        <f t="array" ref="AS124">IF(ISBLANK(C124), "", SUM($AR$9:AR124)
)</f>
        <v/>
      </c>
      <c r="AT124" s="169" t="b">
        <v>0</v>
      </c>
      <c r="AU124" s="169"/>
      <c r="AV124" s="169"/>
      <c r="AW124" s="169"/>
      <c r="AX124" s="387"/>
    </row>
    <row r="125">
      <c r="A125" s="389">
        <v>124.0</v>
      </c>
      <c r="B125" s="138"/>
      <c r="C125" s="139"/>
      <c r="D125" s="401"/>
      <c r="E125" s="141"/>
      <c r="F125" s="142"/>
      <c r="G125" s="398" t="str">
        <f t="shared" si="1"/>
        <v/>
      </c>
      <c r="H125" s="399"/>
      <c r="I125" s="399"/>
      <c r="J125" s="141"/>
      <c r="K125" s="145" t="str">
        <f>IFERROR(__xludf.DUMMYFUNCTION("IF(ISBLANK(C125), """", GOOGLEFINANCE(""NSE:"" &amp; C125,""price""))"),"")</f>
        <v/>
      </c>
      <c r="L125" s="146"/>
      <c r="M125" s="147"/>
      <c r="N125" s="148"/>
      <c r="O125" s="149"/>
      <c r="P125" s="150"/>
      <c r="Q125" s="377"/>
      <c r="R125" s="152"/>
      <c r="S125" s="150"/>
      <c r="T125" s="377"/>
      <c r="U125" s="153" t="str">
        <f t="shared" si="23"/>
        <v/>
      </c>
      <c r="V125" s="154" t="str">
        <f>IFS(AND(B125&gt;=DATE(2025,1,1), B125&lt;=DATE(2025,1,31)), U125/DDashboard!$C$2, AND(B125&gt;=DATE(2025,2,1), B125&lt;=DATE(2025,2,28)), U125/DDashboard!$C$3, AND(B125&gt;=DATE(2025,3,1), B125&lt;=DATE(2025,3,31)), U125/DDashboard!$C$4, AND(B125&gt;=DATE(2025,4,1), B125&lt;=DATE(2025,4,30)), U125/DDashboard!$C$5,AND(B125&gt;=DATE(2025,5,1), B125&lt;=DATE(2025,5,31)), U125/DDashboard!$C$6,AND(B125&gt;=DATE(2025,6,1), B125&lt;=DATE(2025,6,30)), U125/DDashboard!$C$7,AND(B125&gt;=DATE(2025,7,1), B125&lt;=DATE(2025,7,31)), U125/DDashboard!$C$8,AND(B125&gt;=DATE(2025,8,1), B125&lt;=DATE(2025,8,31)), U125/DDashboard!$C$9,AND(B125&gt;=DATE(2025,9,1), B125&lt;=DATE(2025,9,30)), U125/DDashboard!$C$10,AND(B125&gt;=DATE(2025,10,1), B125&lt;=DATE(2025,10,31)), U125/DDashboard!$C$11,AND(B125&gt;=DATE(2025,11,1), B125&lt;=DATE(2025,11,30)), U125/DDashboard!$C$12, AND(B125&gt;=DATE(2025,12,1), B125&lt;=DATE(2025,12,31)), U125/DDashboard!$C$13, True, "")
</f>
        <v/>
      </c>
      <c r="W125" s="65" t="str">
        <f t="shared" si="3"/>
        <v/>
      </c>
      <c r="X125" s="155"/>
      <c r="Y125" s="156"/>
      <c r="Z125" s="392"/>
      <c r="AA125" s="390"/>
      <c r="AB125" s="359"/>
      <c r="AC125" s="360"/>
      <c r="AD125" s="358"/>
      <c r="AE125" s="359"/>
      <c r="AF125" s="360"/>
      <c r="AG125" s="160" t="str">
        <f t="shared" si="4"/>
        <v/>
      </c>
      <c r="AH125" s="393" t="str">
        <f t="shared" si="5"/>
        <v/>
      </c>
      <c r="AI125" s="161" t="str">
        <f t="shared" si="24"/>
        <v/>
      </c>
      <c r="AJ125" s="365" t="str">
        <f t="shared" si="7"/>
        <v/>
      </c>
      <c r="AK125" s="162" t="str">
        <f t="shared" si="25"/>
        <v/>
      </c>
      <c r="AL125" s="161" t="str">
        <f t="shared" si="22"/>
        <v/>
      </c>
      <c r="AM125" s="163" t="str">
        <f>IF(AN125="", "", IF(AN125="Closed", IF(ISNUMBER(AF125), AF125-B125,IF(ISNUMBER(AC125), AC125-B125,IF(ISNUMBER(Z125), Z125-B125, ""))), TODAY()-B125))
</f>
        <v/>
      </c>
      <c r="AN125" s="381" t="str">
        <f t="shared" si="11"/>
        <v/>
      </c>
      <c r="AO125" s="366" t="str">
        <f t="shared" si="12"/>
        <v/>
      </c>
      <c r="AP125" s="166" t="str">
        <f t="shared" si="13"/>
        <v/>
      </c>
      <c r="AQ125" s="167" t="str">
        <f t="shared" si="26"/>
        <v/>
      </c>
      <c r="AR125" s="168" t="str">
        <f>IFS(AND(B125&gt;=DATE(2025,1,1), B125&lt;=DATE(2025,1,31)), AQ125/DDashboard!$C$2, AND(B125&gt;=DATE(2025,2,1), B125&lt;=DATE(2025,2,28)), AQ125/DDashboard!$C$3, AND(B125&gt;=DATE(2025,3,1), B125&lt;=DATE(2025,3,31)), AQ125/DDashboard!$C$4, AND(B125&gt;=DATE(2025,4,1), B125&lt;=DATE(2025,4,30)), AQ125/DDashboard!$C$5,AND(B125&gt;=DATE(2025,5,1), B125&lt;=DATE(2025,5,31)), AQ125/DDashboard!$C$6,AND(B125&gt;=DATE(2025,6,1), B125&lt;=DATE(2025,6,30)), AQ125/DDashboard!$C$7,AND(B125&gt;=DATE(2025,7,1), B125&lt;=DATE(2025,7,31)), AQ125/DDashboard!$C$8,AND(B125&gt;=DATE(2025,8,1), B125&lt;=DATE(2025,8,31)), AQ125/DDashboard!$C$9,AND(B125&gt;=DATE(2025,9,1), B125&lt;=DATE(2025,9,30)), AQ125/DDashboard!$C$10,AND(B125&gt;=DATE(2025,10,1), B125&lt;=DATE(2025,10,31)), AQ125/DDashboard!$C$11,AND(B125&gt;=DATE(2025,11,1), B125&lt;=DATE(2025,11,30)), AQ125/DDashboard!$C$12, AND(B125&gt;=DATE(2025,12,1), B125&lt;=DATE(2025,12,31)), AQ125/DDashboard!$C$13, True, "")
</f>
        <v/>
      </c>
      <c r="AS125" s="200" t="str">
        <f t="array" ref="AS125">IF(ISBLANK(C125), "", SUM($AR$9:AR125)
)</f>
        <v/>
      </c>
      <c r="AT125" s="169" t="b">
        <v>0</v>
      </c>
      <c r="AU125" s="169"/>
      <c r="AV125" s="169"/>
      <c r="AW125" s="169"/>
      <c r="AX125" s="383"/>
    </row>
    <row r="126">
      <c r="A126" s="388">
        <v>125.0</v>
      </c>
      <c r="B126" s="184"/>
      <c r="C126" s="185"/>
      <c r="D126" s="400"/>
      <c r="E126" s="187"/>
      <c r="F126" s="188"/>
      <c r="G126" s="397" t="str">
        <f t="shared" si="1"/>
        <v/>
      </c>
      <c r="H126" s="402"/>
      <c r="I126" s="402"/>
      <c r="J126" s="187"/>
      <c r="K126" s="145" t="str">
        <f>IFERROR(__xludf.DUMMYFUNCTION("IF(ISBLANK(C126), """", GOOGLEFINANCE(""NSE:"" &amp; C126,""price""))"),"")</f>
        <v/>
      </c>
      <c r="L126" s="213"/>
      <c r="M126" s="193"/>
      <c r="N126" s="194"/>
      <c r="O126" s="195"/>
      <c r="P126" s="196"/>
      <c r="Q126" s="376"/>
      <c r="R126" s="198"/>
      <c r="S126" s="196"/>
      <c r="T126" s="376"/>
      <c r="U126" s="199" t="str">
        <f t="shared" si="23"/>
        <v/>
      </c>
      <c r="V126" s="200" t="str">
        <f>IFS(AND(B126&gt;=DATE(2025,1,1), B126&lt;=DATE(2025,1,31)), U126/DDashboard!$C$2, AND(B126&gt;=DATE(2025,2,1), B126&lt;=DATE(2025,2,28)), U126/DDashboard!$C$3, AND(B126&gt;=DATE(2025,3,1), B126&lt;=DATE(2025,3,31)), U126/DDashboard!$C$4, AND(B126&gt;=DATE(2025,4,1), B126&lt;=DATE(2025,4,30)), U126/DDashboard!$C$5,AND(B126&gt;=DATE(2025,5,1), B126&lt;=DATE(2025,5,31)), U126/DDashboard!$C$6,AND(B126&gt;=DATE(2025,6,1), B126&lt;=DATE(2025,6,30)), U126/DDashboard!$C$7,AND(B126&gt;=DATE(2025,7,1), B126&lt;=DATE(2025,7,31)), U126/DDashboard!$C$8,AND(B126&gt;=DATE(2025,8,1), B126&lt;=DATE(2025,8,31)), U126/DDashboard!$C$9,AND(B126&gt;=DATE(2025,9,1), B126&lt;=DATE(2025,9,30)), U126/DDashboard!$C$10,AND(B126&gt;=DATE(2025,10,1), B126&lt;=DATE(2025,10,31)), U126/DDashboard!$C$11,AND(B126&gt;=DATE(2025,11,1), B126&lt;=DATE(2025,11,30)), U126/DDashboard!$C$12, AND(B126&gt;=DATE(2025,12,1), B126&lt;=DATE(2025,12,31)), U126/DDashboard!$C$13, True, "")
</f>
        <v/>
      </c>
      <c r="W126" s="201" t="str">
        <f t="shared" si="3"/>
        <v/>
      </c>
      <c r="X126" s="202"/>
      <c r="Y126" s="203"/>
      <c r="Z126" s="391"/>
      <c r="AA126" s="198"/>
      <c r="AB126" s="222"/>
      <c r="AC126" s="223"/>
      <c r="AD126" s="195"/>
      <c r="AE126" s="222"/>
      <c r="AF126" s="223"/>
      <c r="AG126" s="206" t="str">
        <f t="shared" si="4"/>
        <v/>
      </c>
      <c r="AH126" s="385" t="str">
        <f t="shared" si="5"/>
        <v/>
      </c>
      <c r="AI126" s="207" t="str">
        <f t="shared" si="24"/>
        <v/>
      </c>
      <c r="AJ126" s="367" t="str">
        <f t="shared" si="7"/>
        <v/>
      </c>
      <c r="AK126" s="208" t="str">
        <f t="shared" si="25"/>
        <v/>
      </c>
      <c r="AL126" s="207" t="str">
        <f t="shared" si="22"/>
        <v/>
      </c>
      <c r="AM126" s="209" t="str">
        <f>IF(AN126="", "", IF(AN126="Closed", 
    IF(ISNUMBER(AF126), AF126-B126,
        IF(ISNUMBER(AC126), AC126-B126,
            IF(ISNUMBER(Z126), Z126-B126, "")
        )
    ), 
    TODAY()-B126))</f>
        <v/>
      </c>
      <c r="AN126" s="386" t="str">
        <f t="shared" si="11"/>
        <v/>
      </c>
      <c r="AO126" s="366" t="str">
        <f t="shared" si="12"/>
        <v/>
      </c>
      <c r="AP126" s="210" t="str">
        <f t="shared" si="13"/>
        <v/>
      </c>
      <c r="AQ126" s="196" t="str">
        <f t="shared" si="26"/>
        <v/>
      </c>
      <c r="AR126" s="168" t="str">
        <f>IFS(AND(B126&gt;=DATE(2025,1,1), B126&lt;=DATE(2025,1,31)), AQ126/DDashboard!$C$2, AND(B126&gt;=DATE(2025,2,1), B126&lt;=DATE(2025,2,28)), AQ126/DDashboard!$C$3, AND(B126&gt;=DATE(2025,3,1), B126&lt;=DATE(2025,3,31)), AQ126/DDashboard!$C$4, AND(B126&gt;=DATE(2025,4,1), B126&lt;=DATE(2025,4,30)), AQ126/DDashboard!$C$5,AND(B126&gt;=DATE(2025,5,1), B126&lt;=DATE(2025,5,31)), AQ126/DDashboard!$C$6,AND(B126&gt;=DATE(2025,6,1), B126&lt;=DATE(2025,6,30)), AQ126/DDashboard!$C$7,AND(B126&gt;=DATE(2025,7,1), B126&lt;=DATE(2025,7,31)), AQ126/DDashboard!$C$8,AND(B126&gt;=DATE(2025,8,1), B126&lt;=DATE(2025,8,31)), AQ126/DDashboard!$C$9,AND(B126&gt;=DATE(2025,9,1), B126&lt;=DATE(2025,9,30)), AQ126/DDashboard!$C$10,AND(B126&gt;=DATE(2025,10,1), B126&lt;=DATE(2025,10,31)), AQ126/DDashboard!$C$11,AND(B126&gt;=DATE(2025,11,1), B126&lt;=DATE(2025,11,30)), AQ126/DDashboard!$C$12, AND(B126&gt;=DATE(2025,12,1), B126&lt;=DATE(2025,12,31)), AQ126/DDashboard!$C$13, True, "")
</f>
        <v/>
      </c>
      <c r="AS126" s="200" t="str">
        <f t="array" ref="AS126">IF(ISBLANK(C126), "", SUM($AR$9:AR126)
)</f>
        <v/>
      </c>
      <c r="AT126" s="169" t="b">
        <v>0</v>
      </c>
      <c r="AU126" s="169"/>
      <c r="AV126" s="169"/>
      <c r="AW126" s="169"/>
      <c r="AX126" s="387"/>
    </row>
    <row r="127">
      <c r="A127" s="389">
        <v>126.0</v>
      </c>
      <c r="B127" s="138"/>
      <c r="C127" s="139"/>
      <c r="D127" s="401"/>
      <c r="E127" s="141"/>
      <c r="F127" s="142"/>
      <c r="G127" s="398" t="str">
        <f t="shared" si="1"/>
        <v/>
      </c>
      <c r="H127" s="399"/>
      <c r="I127" s="399"/>
      <c r="J127" s="141"/>
      <c r="K127" s="145" t="str">
        <f>IFERROR(__xludf.DUMMYFUNCTION("IF(ISBLANK(C127), """", GOOGLEFINANCE(""NSE:"" &amp; C127,""price""))"),"")</f>
        <v/>
      </c>
      <c r="L127" s="146"/>
      <c r="M127" s="147"/>
      <c r="N127" s="148"/>
      <c r="O127" s="149"/>
      <c r="P127" s="150"/>
      <c r="Q127" s="377"/>
      <c r="R127" s="152"/>
      <c r="S127" s="150"/>
      <c r="T127" s="377"/>
      <c r="U127" s="153" t="str">
        <f t="shared" si="23"/>
        <v/>
      </c>
      <c r="V127" s="154" t="str">
        <f>IFS(AND(B127&gt;=DATE(2025,1,1), B127&lt;=DATE(2025,1,31)), U127/DDashboard!$C$2, AND(B127&gt;=DATE(2025,2,1), B127&lt;=DATE(2025,2,28)), U127/DDashboard!$C$3, AND(B127&gt;=DATE(2025,3,1), B127&lt;=DATE(2025,3,31)), U127/DDashboard!$C$4, AND(B127&gt;=DATE(2025,4,1), B127&lt;=DATE(2025,4,30)), U127/DDashboard!$C$5,AND(B127&gt;=DATE(2025,5,1), B127&lt;=DATE(2025,5,31)), U127/DDashboard!$C$6,AND(B127&gt;=DATE(2025,6,1), B127&lt;=DATE(2025,6,30)), U127/DDashboard!$C$7,AND(B127&gt;=DATE(2025,7,1), B127&lt;=DATE(2025,7,31)), U127/DDashboard!$C$8,AND(B127&gt;=DATE(2025,8,1), B127&lt;=DATE(2025,8,31)), U127/DDashboard!$C$9,AND(B127&gt;=DATE(2025,9,1), B127&lt;=DATE(2025,9,30)), U127/DDashboard!$C$10,AND(B127&gt;=DATE(2025,10,1), B127&lt;=DATE(2025,10,31)), U127/DDashboard!$C$11,AND(B127&gt;=DATE(2025,11,1), B127&lt;=DATE(2025,11,30)), U127/DDashboard!$C$12, AND(B127&gt;=DATE(2025,12,1), B127&lt;=DATE(2025,12,31)), U127/DDashboard!$C$13, True, "")
</f>
        <v/>
      </c>
      <c r="W127" s="65" t="str">
        <f t="shared" si="3"/>
        <v/>
      </c>
      <c r="X127" s="155"/>
      <c r="Y127" s="156"/>
      <c r="Z127" s="392"/>
      <c r="AA127" s="390"/>
      <c r="AB127" s="359"/>
      <c r="AC127" s="360"/>
      <c r="AD127" s="358"/>
      <c r="AE127" s="359"/>
      <c r="AF127" s="360"/>
      <c r="AG127" s="160" t="str">
        <f t="shared" si="4"/>
        <v/>
      </c>
      <c r="AH127" s="393" t="str">
        <f t="shared" si="5"/>
        <v/>
      </c>
      <c r="AI127" s="161" t="str">
        <f t="shared" si="24"/>
        <v/>
      </c>
      <c r="AJ127" s="365" t="str">
        <f t="shared" si="7"/>
        <v/>
      </c>
      <c r="AK127" s="162" t="str">
        <f t="shared" si="25"/>
        <v/>
      </c>
      <c r="AL127" s="161" t="str">
        <f t="shared" si="22"/>
        <v/>
      </c>
      <c r="AM127" s="163" t="str">
        <f>IF(AN127="", "", IF(AN127="Closed", IF(ISNUMBER(AF127), AF127-B127,IF(ISNUMBER(AC127), AC127-B127,IF(ISNUMBER(Z127), Z127-B127, ""))), TODAY()-B127))
</f>
        <v/>
      </c>
      <c r="AN127" s="381" t="str">
        <f t="shared" si="11"/>
        <v/>
      </c>
      <c r="AO127" s="366" t="str">
        <f t="shared" si="12"/>
        <v/>
      </c>
      <c r="AP127" s="166" t="str">
        <f t="shared" si="13"/>
        <v/>
      </c>
      <c r="AQ127" s="167" t="str">
        <f t="shared" si="26"/>
        <v/>
      </c>
      <c r="AR127" s="168" t="str">
        <f>IFS(AND(B127&gt;=DATE(2025,1,1), B127&lt;=DATE(2025,1,31)), AQ127/DDashboard!$C$2, AND(B127&gt;=DATE(2025,2,1), B127&lt;=DATE(2025,2,28)), AQ127/DDashboard!$C$3, AND(B127&gt;=DATE(2025,3,1), B127&lt;=DATE(2025,3,31)), AQ127/DDashboard!$C$4, AND(B127&gt;=DATE(2025,4,1), B127&lt;=DATE(2025,4,30)), AQ127/DDashboard!$C$5,AND(B127&gt;=DATE(2025,5,1), B127&lt;=DATE(2025,5,31)), AQ127/DDashboard!$C$6,AND(B127&gt;=DATE(2025,6,1), B127&lt;=DATE(2025,6,30)), AQ127/DDashboard!$C$7,AND(B127&gt;=DATE(2025,7,1), B127&lt;=DATE(2025,7,31)), AQ127/DDashboard!$C$8,AND(B127&gt;=DATE(2025,8,1), B127&lt;=DATE(2025,8,31)), AQ127/DDashboard!$C$9,AND(B127&gt;=DATE(2025,9,1), B127&lt;=DATE(2025,9,30)), AQ127/DDashboard!$C$10,AND(B127&gt;=DATE(2025,10,1), B127&lt;=DATE(2025,10,31)), AQ127/DDashboard!$C$11,AND(B127&gt;=DATE(2025,11,1), B127&lt;=DATE(2025,11,30)), AQ127/DDashboard!$C$12, AND(B127&gt;=DATE(2025,12,1), B127&lt;=DATE(2025,12,31)), AQ127/DDashboard!$C$13, True, "")
</f>
        <v/>
      </c>
      <c r="AS127" s="200" t="str">
        <f t="array" ref="AS127">IF(ISBLANK(C127), "", SUM($AR$9:AR127)
)</f>
        <v/>
      </c>
      <c r="AT127" s="169" t="b">
        <v>0</v>
      </c>
      <c r="AU127" s="169"/>
      <c r="AV127" s="169"/>
      <c r="AW127" s="169"/>
      <c r="AX127" s="383"/>
    </row>
    <row r="128">
      <c r="A128" s="388">
        <v>127.0</v>
      </c>
      <c r="B128" s="184"/>
      <c r="C128" s="185"/>
      <c r="D128" s="400"/>
      <c r="E128" s="187"/>
      <c r="F128" s="188"/>
      <c r="G128" s="397" t="str">
        <f t="shared" si="1"/>
        <v/>
      </c>
      <c r="H128" s="402"/>
      <c r="I128" s="402"/>
      <c r="J128" s="187"/>
      <c r="K128" s="145" t="str">
        <f>IFERROR(__xludf.DUMMYFUNCTION("IF(ISBLANK(C128), """", GOOGLEFINANCE(""NSE:"" &amp; C128,""price""))"),"")</f>
        <v/>
      </c>
      <c r="L128" s="213"/>
      <c r="M128" s="193"/>
      <c r="N128" s="194"/>
      <c r="O128" s="195"/>
      <c r="P128" s="196"/>
      <c r="Q128" s="376"/>
      <c r="R128" s="198"/>
      <c r="S128" s="196"/>
      <c r="T128" s="376"/>
      <c r="U128" s="199" t="str">
        <f t="shared" si="23"/>
        <v/>
      </c>
      <c r="V128" s="200" t="str">
        <f>IFS(AND(B128&gt;=DATE(2025,1,1), B128&lt;=DATE(2025,1,31)), U128/DDashboard!$C$2, AND(B128&gt;=DATE(2025,2,1), B128&lt;=DATE(2025,2,28)), U128/DDashboard!$C$3, AND(B128&gt;=DATE(2025,3,1), B128&lt;=DATE(2025,3,31)), U128/DDashboard!$C$4, AND(B128&gt;=DATE(2025,4,1), B128&lt;=DATE(2025,4,30)), U128/DDashboard!$C$5,AND(B128&gt;=DATE(2025,5,1), B128&lt;=DATE(2025,5,31)), U128/DDashboard!$C$6,AND(B128&gt;=DATE(2025,6,1), B128&lt;=DATE(2025,6,30)), U128/DDashboard!$C$7,AND(B128&gt;=DATE(2025,7,1), B128&lt;=DATE(2025,7,31)), U128/DDashboard!$C$8,AND(B128&gt;=DATE(2025,8,1), B128&lt;=DATE(2025,8,31)), U128/DDashboard!$C$9,AND(B128&gt;=DATE(2025,9,1), B128&lt;=DATE(2025,9,30)), U128/DDashboard!$C$10,AND(B128&gt;=DATE(2025,10,1), B128&lt;=DATE(2025,10,31)), U128/DDashboard!$C$11,AND(B128&gt;=DATE(2025,11,1), B128&lt;=DATE(2025,11,30)), U128/DDashboard!$C$12, AND(B128&gt;=DATE(2025,12,1), B128&lt;=DATE(2025,12,31)), U128/DDashboard!$C$13, True, "")
</f>
        <v/>
      </c>
      <c r="W128" s="201" t="str">
        <f t="shared" si="3"/>
        <v/>
      </c>
      <c r="X128" s="202"/>
      <c r="Y128" s="203"/>
      <c r="Z128" s="391"/>
      <c r="AA128" s="198"/>
      <c r="AB128" s="222"/>
      <c r="AC128" s="223"/>
      <c r="AD128" s="195"/>
      <c r="AE128" s="222"/>
      <c r="AF128" s="223"/>
      <c r="AG128" s="206" t="str">
        <f t="shared" si="4"/>
        <v/>
      </c>
      <c r="AH128" s="385" t="str">
        <f t="shared" si="5"/>
        <v/>
      </c>
      <c r="AI128" s="207" t="str">
        <f t="shared" si="24"/>
        <v/>
      </c>
      <c r="AJ128" s="367" t="str">
        <f t="shared" si="7"/>
        <v/>
      </c>
      <c r="AK128" s="208" t="str">
        <f t="shared" si="25"/>
        <v/>
      </c>
      <c r="AL128" s="207" t="str">
        <f t="shared" si="22"/>
        <v/>
      </c>
      <c r="AM128" s="209" t="str">
        <f>IF(AN128="", "", IF(AN128="Closed", 
    IF(ISNUMBER(AF128), AF128-B128,
        IF(ISNUMBER(AC128), AC128-B128,
            IF(ISNUMBER(Z128), Z128-B128, "")
        )
    ), 
    TODAY()-B128))</f>
        <v/>
      </c>
      <c r="AN128" s="386" t="str">
        <f t="shared" si="11"/>
        <v/>
      </c>
      <c r="AO128" s="366" t="str">
        <f t="shared" si="12"/>
        <v/>
      </c>
      <c r="AP128" s="210" t="str">
        <f t="shared" si="13"/>
        <v/>
      </c>
      <c r="AQ128" s="196" t="str">
        <f t="shared" si="26"/>
        <v/>
      </c>
      <c r="AR128" s="168" t="str">
        <f>IFS(AND(B128&gt;=DATE(2025,1,1), B128&lt;=DATE(2025,1,31)), AQ128/DDashboard!$C$2, AND(B128&gt;=DATE(2025,2,1), B128&lt;=DATE(2025,2,28)), AQ128/DDashboard!$C$3, AND(B128&gt;=DATE(2025,3,1), B128&lt;=DATE(2025,3,31)), AQ128/DDashboard!$C$4, AND(B128&gt;=DATE(2025,4,1), B128&lt;=DATE(2025,4,30)), AQ128/DDashboard!$C$5,AND(B128&gt;=DATE(2025,5,1), B128&lt;=DATE(2025,5,31)), AQ128/DDashboard!$C$6,AND(B128&gt;=DATE(2025,6,1), B128&lt;=DATE(2025,6,30)), AQ128/DDashboard!$C$7,AND(B128&gt;=DATE(2025,7,1), B128&lt;=DATE(2025,7,31)), AQ128/DDashboard!$C$8,AND(B128&gt;=DATE(2025,8,1), B128&lt;=DATE(2025,8,31)), AQ128/DDashboard!$C$9,AND(B128&gt;=DATE(2025,9,1), B128&lt;=DATE(2025,9,30)), AQ128/DDashboard!$C$10,AND(B128&gt;=DATE(2025,10,1), B128&lt;=DATE(2025,10,31)), AQ128/DDashboard!$C$11,AND(B128&gt;=DATE(2025,11,1), B128&lt;=DATE(2025,11,30)), AQ128/DDashboard!$C$12, AND(B128&gt;=DATE(2025,12,1), B128&lt;=DATE(2025,12,31)), AQ128/DDashboard!$C$13, True, "")
</f>
        <v/>
      </c>
      <c r="AS128" s="200" t="str">
        <f t="array" ref="AS128">IF(ISBLANK(C128), "", SUM($AR$9:AR128)
)</f>
        <v/>
      </c>
      <c r="AT128" s="169" t="b">
        <v>0</v>
      </c>
      <c r="AU128" s="169"/>
      <c r="AV128" s="169"/>
      <c r="AW128" s="169"/>
      <c r="AX128" s="387"/>
    </row>
    <row r="129">
      <c r="A129" s="389">
        <v>128.0</v>
      </c>
      <c r="B129" s="138"/>
      <c r="C129" s="139"/>
      <c r="D129" s="401"/>
      <c r="E129" s="141"/>
      <c r="F129" s="142"/>
      <c r="G129" s="398" t="str">
        <f t="shared" si="1"/>
        <v/>
      </c>
      <c r="H129" s="399"/>
      <c r="I129" s="399"/>
      <c r="J129" s="141"/>
      <c r="K129" s="145" t="str">
        <f>IFERROR(__xludf.DUMMYFUNCTION("IF(ISBLANK(C129), """", GOOGLEFINANCE(""NSE:"" &amp; C129,""price""))"),"")</f>
        <v/>
      </c>
      <c r="L129" s="146"/>
      <c r="M129" s="147"/>
      <c r="N129" s="148"/>
      <c r="O129" s="149"/>
      <c r="P129" s="150"/>
      <c r="Q129" s="377"/>
      <c r="R129" s="152"/>
      <c r="S129" s="150"/>
      <c r="T129" s="377"/>
      <c r="U129" s="153" t="str">
        <f t="shared" si="23"/>
        <v/>
      </c>
      <c r="V129" s="154" t="str">
        <f>IFS(AND(B129&gt;=DATE(2025,1,1), B129&lt;=DATE(2025,1,31)), U129/DDashboard!$C$2, AND(B129&gt;=DATE(2025,2,1), B129&lt;=DATE(2025,2,28)), U129/DDashboard!$C$3, AND(B129&gt;=DATE(2025,3,1), B129&lt;=DATE(2025,3,31)), U129/DDashboard!$C$4, AND(B129&gt;=DATE(2025,4,1), B129&lt;=DATE(2025,4,30)), U129/DDashboard!$C$5,AND(B129&gt;=DATE(2025,5,1), B129&lt;=DATE(2025,5,31)), U129/DDashboard!$C$6,AND(B129&gt;=DATE(2025,6,1), B129&lt;=DATE(2025,6,30)), U129/DDashboard!$C$7,AND(B129&gt;=DATE(2025,7,1), B129&lt;=DATE(2025,7,31)), U129/DDashboard!$C$8,AND(B129&gt;=DATE(2025,8,1), B129&lt;=DATE(2025,8,31)), U129/DDashboard!$C$9,AND(B129&gt;=DATE(2025,9,1), B129&lt;=DATE(2025,9,30)), U129/DDashboard!$C$10,AND(B129&gt;=DATE(2025,10,1), B129&lt;=DATE(2025,10,31)), U129/DDashboard!$C$11,AND(B129&gt;=DATE(2025,11,1), B129&lt;=DATE(2025,11,30)), U129/DDashboard!$C$12, AND(B129&gt;=DATE(2025,12,1), B129&lt;=DATE(2025,12,31)), U129/DDashboard!$C$13, True, "")
</f>
        <v/>
      </c>
      <c r="W129" s="65" t="str">
        <f t="shared" si="3"/>
        <v/>
      </c>
      <c r="X129" s="155"/>
      <c r="Y129" s="156"/>
      <c r="Z129" s="392"/>
      <c r="AA129" s="390"/>
      <c r="AB129" s="359"/>
      <c r="AC129" s="360"/>
      <c r="AD129" s="358"/>
      <c r="AE129" s="359"/>
      <c r="AF129" s="360"/>
      <c r="AG129" s="160" t="str">
        <f t="shared" si="4"/>
        <v/>
      </c>
      <c r="AH129" s="393" t="str">
        <f t="shared" si="5"/>
        <v/>
      </c>
      <c r="AI129" s="161" t="str">
        <f t="shared" si="24"/>
        <v/>
      </c>
      <c r="AJ129" s="365" t="str">
        <f t="shared" si="7"/>
        <v/>
      </c>
      <c r="AK129" s="162" t="str">
        <f t="shared" si="25"/>
        <v/>
      </c>
      <c r="AL129" s="161" t="str">
        <f t="shared" si="22"/>
        <v/>
      </c>
      <c r="AM129" s="163" t="str">
        <f>IF(AN129="", "", IF(AN129="Closed", IF(ISNUMBER(AF129), AF129-B129,IF(ISNUMBER(AC129), AC129-B129,IF(ISNUMBER(Z129), Z129-B129, ""))), TODAY()-B129))
</f>
        <v/>
      </c>
      <c r="AN129" s="381" t="str">
        <f t="shared" si="11"/>
        <v/>
      </c>
      <c r="AO129" s="366" t="str">
        <f t="shared" si="12"/>
        <v/>
      </c>
      <c r="AP129" s="166" t="str">
        <f t="shared" si="13"/>
        <v/>
      </c>
      <c r="AQ129" s="167" t="str">
        <f t="shared" si="26"/>
        <v/>
      </c>
      <c r="AR129" s="168" t="str">
        <f>IFS(AND(B129&gt;=DATE(2025,1,1), B129&lt;=DATE(2025,1,31)), AQ129/DDashboard!$C$2, AND(B129&gt;=DATE(2025,2,1), B129&lt;=DATE(2025,2,28)), AQ129/DDashboard!$C$3, AND(B129&gt;=DATE(2025,3,1), B129&lt;=DATE(2025,3,31)), AQ129/DDashboard!$C$4, AND(B129&gt;=DATE(2025,4,1), B129&lt;=DATE(2025,4,30)), AQ129/DDashboard!$C$5,AND(B129&gt;=DATE(2025,5,1), B129&lt;=DATE(2025,5,31)), AQ129/DDashboard!$C$6,AND(B129&gt;=DATE(2025,6,1), B129&lt;=DATE(2025,6,30)), AQ129/DDashboard!$C$7,AND(B129&gt;=DATE(2025,7,1), B129&lt;=DATE(2025,7,31)), AQ129/DDashboard!$C$8,AND(B129&gt;=DATE(2025,8,1), B129&lt;=DATE(2025,8,31)), AQ129/DDashboard!$C$9,AND(B129&gt;=DATE(2025,9,1), B129&lt;=DATE(2025,9,30)), AQ129/DDashboard!$C$10,AND(B129&gt;=DATE(2025,10,1), B129&lt;=DATE(2025,10,31)), AQ129/DDashboard!$C$11,AND(B129&gt;=DATE(2025,11,1), B129&lt;=DATE(2025,11,30)), AQ129/DDashboard!$C$12, AND(B129&gt;=DATE(2025,12,1), B129&lt;=DATE(2025,12,31)), AQ129/DDashboard!$C$13, True, "")
</f>
        <v/>
      </c>
      <c r="AS129" s="200" t="str">
        <f t="array" ref="AS129">IF(ISBLANK(C129), "", SUM($AR$9:AR129)
)</f>
        <v/>
      </c>
      <c r="AT129" s="169" t="b">
        <v>0</v>
      </c>
      <c r="AU129" s="169"/>
      <c r="AV129" s="169"/>
      <c r="AW129" s="169"/>
      <c r="AX129" s="383"/>
    </row>
    <row r="130">
      <c r="A130" s="388">
        <v>129.0</v>
      </c>
      <c r="B130" s="184"/>
      <c r="C130" s="185"/>
      <c r="D130" s="400"/>
      <c r="E130" s="187"/>
      <c r="F130" s="188"/>
      <c r="G130" s="397" t="str">
        <f t="shared" si="1"/>
        <v/>
      </c>
      <c r="H130" s="402"/>
      <c r="I130" s="402"/>
      <c r="J130" s="187"/>
      <c r="K130" s="145" t="str">
        <f>IFERROR(__xludf.DUMMYFUNCTION("IF(ISBLANK(C130), """", GOOGLEFINANCE(""NSE:"" &amp; C130,""price""))"),"")</f>
        <v/>
      </c>
      <c r="L130" s="213"/>
      <c r="M130" s="193"/>
      <c r="N130" s="194"/>
      <c r="O130" s="195"/>
      <c r="P130" s="196"/>
      <c r="Q130" s="376"/>
      <c r="R130" s="198"/>
      <c r="S130" s="196"/>
      <c r="T130" s="376"/>
      <c r="U130" s="199" t="str">
        <f t="shared" si="23"/>
        <v/>
      </c>
      <c r="V130" s="200" t="str">
        <f>IFS(AND(B130&gt;=DATE(2025,1,1), B130&lt;=DATE(2025,1,31)), U130/DDashboard!$C$2, AND(B130&gt;=DATE(2025,2,1), B130&lt;=DATE(2025,2,28)), U130/DDashboard!$C$3, AND(B130&gt;=DATE(2025,3,1), B130&lt;=DATE(2025,3,31)), U130/DDashboard!$C$4, AND(B130&gt;=DATE(2025,4,1), B130&lt;=DATE(2025,4,30)), U130/DDashboard!$C$5,AND(B130&gt;=DATE(2025,5,1), B130&lt;=DATE(2025,5,31)), U130/DDashboard!$C$6,AND(B130&gt;=DATE(2025,6,1), B130&lt;=DATE(2025,6,30)), U130/DDashboard!$C$7,AND(B130&gt;=DATE(2025,7,1), B130&lt;=DATE(2025,7,31)), U130/DDashboard!$C$8,AND(B130&gt;=DATE(2025,8,1), B130&lt;=DATE(2025,8,31)), U130/DDashboard!$C$9,AND(B130&gt;=DATE(2025,9,1), B130&lt;=DATE(2025,9,30)), U130/DDashboard!$C$10,AND(B130&gt;=DATE(2025,10,1), B130&lt;=DATE(2025,10,31)), U130/DDashboard!$C$11,AND(B130&gt;=DATE(2025,11,1), B130&lt;=DATE(2025,11,30)), U130/DDashboard!$C$12, AND(B130&gt;=DATE(2025,12,1), B130&lt;=DATE(2025,12,31)), U130/DDashboard!$C$13, True, "")
</f>
        <v/>
      </c>
      <c r="W130" s="201" t="str">
        <f t="shared" si="3"/>
        <v/>
      </c>
      <c r="X130" s="202"/>
      <c r="Y130" s="203"/>
      <c r="Z130" s="391"/>
      <c r="AA130" s="198"/>
      <c r="AB130" s="222"/>
      <c r="AC130" s="223"/>
      <c r="AD130" s="195"/>
      <c r="AE130" s="222"/>
      <c r="AF130" s="223"/>
      <c r="AG130" s="206" t="str">
        <f t="shared" si="4"/>
        <v/>
      </c>
      <c r="AH130" s="385" t="str">
        <f t="shared" si="5"/>
        <v/>
      </c>
      <c r="AI130" s="207" t="str">
        <f t="shared" si="24"/>
        <v/>
      </c>
      <c r="AJ130" s="367" t="str">
        <f t="shared" si="7"/>
        <v/>
      </c>
      <c r="AK130" s="208" t="str">
        <f t="shared" si="25"/>
        <v/>
      </c>
      <c r="AL130" s="207" t="str">
        <f t="shared" si="22"/>
        <v/>
      </c>
      <c r="AM130" s="209" t="str">
        <f>IF(AN130="", "", IF(AN130="Closed", 
    IF(ISNUMBER(AF130), AF130-B130,
        IF(ISNUMBER(AC130), AC130-B130,
            IF(ISNUMBER(Z130), Z130-B130, "")
        )
    ), 
    TODAY()-B130))</f>
        <v/>
      </c>
      <c r="AN130" s="386" t="str">
        <f t="shared" si="11"/>
        <v/>
      </c>
      <c r="AO130" s="366" t="str">
        <f t="shared" si="12"/>
        <v/>
      </c>
      <c r="AP130" s="210" t="str">
        <f t="shared" si="13"/>
        <v/>
      </c>
      <c r="AQ130" s="196" t="str">
        <f t="shared" si="26"/>
        <v/>
      </c>
      <c r="AR130" s="168" t="str">
        <f>IFS(AND(B130&gt;=DATE(2025,1,1), B130&lt;=DATE(2025,1,31)), AQ130/DDashboard!$C$2, AND(B130&gt;=DATE(2025,2,1), B130&lt;=DATE(2025,2,28)), AQ130/DDashboard!$C$3, AND(B130&gt;=DATE(2025,3,1), B130&lt;=DATE(2025,3,31)), AQ130/DDashboard!$C$4, AND(B130&gt;=DATE(2025,4,1), B130&lt;=DATE(2025,4,30)), AQ130/DDashboard!$C$5,AND(B130&gt;=DATE(2025,5,1), B130&lt;=DATE(2025,5,31)), AQ130/DDashboard!$C$6,AND(B130&gt;=DATE(2025,6,1), B130&lt;=DATE(2025,6,30)), AQ130/DDashboard!$C$7,AND(B130&gt;=DATE(2025,7,1), B130&lt;=DATE(2025,7,31)), AQ130/DDashboard!$C$8,AND(B130&gt;=DATE(2025,8,1), B130&lt;=DATE(2025,8,31)), AQ130/DDashboard!$C$9,AND(B130&gt;=DATE(2025,9,1), B130&lt;=DATE(2025,9,30)), AQ130/DDashboard!$C$10,AND(B130&gt;=DATE(2025,10,1), B130&lt;=DATE(2025,10,31)), AQ130/DDashboard!$C$11,AND(B130&gt;=DATE(2025,11,1), B130&lt;=DATE(2025,11,30)), AQ130/DDashboard!$C$12, AND(B130&gt;=DATE(2025,12,1), B130&lt;=DATE(2025,12,31)), AQ130/DDashboard!$C$13, True, "")
</f>
        <v/>
      </c>
      <c r="AS130" s="200" t="str">
        <f t="array" ref="AS130">IF(ISBLANK(C130), "", SUM($AR$9:AR130)
)</f>
        <v/>
      </c>
      <c r="AT130" s="169" t="b">
        <v>0</v>
      </c>
      <c r="AU130" s="169"/>
      <c r="AV130" s="169"/>
      <c r="AW130" s="169"/>
      <c r="AX130" s="387"/>
    </row>
    <row r="131">
      <c r="A131" s="389">
        <v>130.0</v>
      </c>
      <c r="B131" s="138"/>
      <c r="C131" s="139"/>
      <c r="D131" s="401"/>
      <c r="E131" s="141"/>
      <c r="F131" s="142"/>
      <c r="G131" s="398" t="str">
        <f t="shared" si="1"/>
        <v/>
      </c>
      <c r="H131" s="399"/>
      <c r="I131" s="399"/>
      <c r="J131" s="141"/>
      <c r="K131" s="145" t="str">
        <f>IFERROR(__xludf.DUMMYFUNCTION("IF(ISBLANK(C131), """", GOOGLEFINANCE(""NSE:"" &amp; C131,""price""))"),"")</f>
        <v/>
      </c>
      <c r="L131" s="146"/>
      <c r="M131" s="147"/>
      <c r="N131" s="148"/>
      <c r="O131" s="149"/>
      <c r="P131" s="150"/>
      <c r="Q131" s="377"/>
      <c r="R131" s="152"/>
      <c r="S131" s="150"/>
      <c r="T131" s="377"/>
      <c r="U131" s="153" t="str">
        <f t="shared" si="23"/>
        <v/>
      </c>
      <c r="V131" s="154" t="str">
        <f>IFS(AND(B131&gt;=DATE(2025,1,1), B131&lt;=DATE(2025,1,31)), U131/DDashboard!$C$2, AND(B131&gt;=DATE(2025,2,1), B131&lt;=DATE(2025,2,28)), U131/DDashboard!$C$3, AND(B131&gt;=DATE(2025,3,1), B131&lt;=DATE(2025,3,31)), U131/DDashboard!$C$4, AND(B131&gt;=DATE(2025,4,1), B131&lt;=DATE(2025,4,30)), U131/DDashboard!$C$5,AND(B131&gt;=DATE(2025,5,1), B131&lt;=DATE(2025,5,31)), U131/DDashboard!$C$6,AND(B131&gt;=DATE(2025,6,1), B131&lt;=DATE(2025,6,30)), U131/DDashboard!$C$7,AND(B131&gt;=DATE(2025,7,1), B131&lt;=DATE(2025,7,31)), U131/DDashboard!$C$8,AND(B131&gt;=DATE(2025,8,1), B131&lt;=DATE(2025,8,31)), U131/DDashboard!$C$9,AND(B131&gt;=DATE(2025,9,1), B131&lt;=DATE(2025,9,30)), U131/DDashboard!$C$10,AND(B131&gt;=DATE(2025,10,1), B131&lt;=DATE(2025,10,31)), U131/DDashboard!$C$11,AND(B131&gt;=DATE(2025,11,1), B131&lt;=DATE(2025,11,30)), U131/DDashboard!$C$12, AND(B131&gt;=DATE(2025,12,1), B131&lt;=DATE(2025,12,31)), U131/DDashboard!$C$13, True, "")
</f>
        <v/>
      </c>
      <c r="W131" s="65" t="str">
        <f t="shared" si="3"/>
        <v/>
      </c>
      <c r="X131" s="155"/>
      <c r="Y131" s="156"/>
      <c r="Z131" s="392"/>
      <c r="AA131" s="390"/>
      <c r="AB131" s="359"/>
      <c r="AC131" s="360"/>
      <c r="AD131" s="358"/>
      <c r="AE131" s="359"/>
      <c r="AF131" s="360"/>
      <c r="AG131" s="160" t="str">
        <f t="shared" si="4"/>
        <v/>
      </c>
      <c r="AH131" s="393" t="str">
        <f t="shared" si="5"/>
        <v/>
      </c>
      <c r="AI131" s="161" t="str">
        <f t="shared" si="24"/>
        <v/>
      </c>
      <c r="AJ131" s="365" t="str">
        <f t="shared" si="7"/>
        <v/>
      </c>
      <c r="AK131" s="162" t="str">
        <f t="shared" si="25"/>
        <v/>
      </c>
      <c r="AL131" s="161" t="str">
        <f t="shared" si="22"/>
        <v/>
      </c>
      <c r="AM131" s="163" t="str">
        <f>IF(AN131="", "", IF(AN131="Closed", IF(ISNUMBER(AF131), AF131-B131,IF(ISNUMBER(AC131), AC131-B131,IF(ISNUMBER(Z131), Z131-B131, ""))), TODAY()-B131))
</f>
        <v/>
      </c>
      <c r="AN131" s="381" t="str">
        <f t="shared" si="11"/>
        <v/>
      </c>
      <c r="AO131" s="366" t="str">
        <f t="shared" si="12"/>
        <v/>
      </c>
      <c r="AP131" s="166" t="str">
        <f t="shared" si="13"/>
        <v/>
      </c>
      <c r="AQ131" s="167" t="str">
        <f t="shared" si="26"/>
        <v/>
      </c>
      <c r="AR131" s="168" t="str">
        <f>IFS(AND(B131&gt;=DATE(2025,1,1), B131&lt;=DATE(2025,1,31)), AQ131/DDashboard!$C$2, AND(B131&gt;=DATE(2025,2,1), B131&lt;=DATE(2025,2,28)), AQ131/DDashboard!$C$3, AND(B131&gt;=DATE(2025,3,1), B131&lt;=DATE(2025,3,31)), AQ131/DDashboard!$C$4, AND(B131&gt;=DATE(2025,4,1), B131&lt;=DATE(2025,4,30)), AQ131/DDashboard!$C$5,AND(B131&gt;=DATE(2025,5,1), B131&lt;=DATE(2025,5,31)), AQ131/DDashboard!$C$6,AND(B131&gt;=DATE(2025,6,1), B131&lt;=DATE(2025,6,30)), AQ131/DDashboard!$C$7,AND(B131&gt;=DATE(2025,7,1), B131&lt;=DATE(2025,7,31)), AQ131/DDashboard!$C$8,AND(B131&gt;=DATE(2025,8,1), B131&lt;=DATE(2025,8,31)), AQ131/DDashboard!$C$9,AND(B131&gt;=DATE(2025,9,1), B131&lt;=DATE(2025,9,30)), AQ131/DDashboard!$C$10,AND(B131&gt;=DATE(2025,10,1), B131&lt;=DATE(2025,10,31)), AQ131/DDashboard!$C$11,AND(B131&gt;=DATE(2025,11,1), B131&lt;=DATE(2025,11,30)), AQ131/DDashboard!$C$12, AND(B131&gt;=DATE(2025,12,1), B131&lt;=DATE(2025,12,31)), AQ131/DDashboard!$C$13, True, "")
</f>
        <v/>
      </c>
      <c r="AS131" s="200" t="str">
        <f t="array" ref="AS131">IF(ISBLANK(C131), "", SUM($AR$9:AR131)
)</f>
        <v/>
      </c>
      <c r="AT131" s="169" t="b">
        <v>0</v>
      </c>
      <c r="AU131" s="169"/>
      <c r="AV131" s="169"/>
      <c r="AW131" s="169"/>
      <c r="AX131" s="383"/>
    </row>
    <row r="132">
      <c r="A132" s="388">
        <v>131.0</v>
      </c>
      <c r="B132" s="184"/>
      <c r="C132" s="185"/>
      <c r="D132" s="400"/>
      <c r="E132" s="187"/>
      <c r="F132" s="188"/>
      <c r="G132" s="397" t="str">
        <f t="shared" si="1"/>
        <v/>
      </c>
      <c r="H132" s="402"/>
      <c r="I132" s="402"/>
      <c r="J132" s="187"/>
      <c r="K132" s="145" t="str">
        <f>IFERROR(__xludf.DUMMYFUNCTION("IF(ISBLANK(C132), """", GOOGLEFINANCE(""NSE:"" &amp; C132,""price""))"),"")</f>
        <v/>
      </c>
      <c r="L132" s="213"/>
      <c r="M132" s="193"/>
      <c r="N132" s="194"/>
      <c r="O132" s="195"/>
      <c r="P132" s="196"/>
      <c r="Q132" s="376"/>
      <c r="R132" s="198"/>
      <c r="S132" s="196"/>
      <c r="T132" s="376"/>
      <c r="U132" s="199" t="str">
        <f t="shared" si="23"/>
        <v/>
      </c>
      <c r="V132" s="200" t="str">
        <f>IFS(AND(B132&gt;=DATE(2025,1,1), B132&lt;=DATE(2025,1,31)), U132/DDashboard!$C$2, AND(B132&gt;=DATE(2025,2,1), B132&lt;=DATE(2025,2,28)), U132/DDashboard!$C$3, AND(B132&gt;=DATE(2025,3,1), B132&lt;=DATE(2025,3,31)), U132/DDashboard!$C$4, AND(B132&gt;=DATE(2025,4,1), B132&lt;=DATE(2025,4,30)), U132/DDashboard!$C$5,AND(B132&gt;=DATE(2025,5,1), B132&lt;=DATE(2025,5,31)), U132/DDashboard!$C$6,AND(B132&gt;=DATE(2025,6,1), B132&lt;=DATE(2025,6,30)), U132/DDashboard!$C$7,AND(B132&gt;=DATE(2025,7,1), B132&lt;=DATE(2025,7,31)), U132/DDashboard!$C$8,AND(B132&gt;=DATE(2025,8,1), B132&lt;=DATE(2025,8,31)), U132/DDashboard!$C$9,AND(B132&gt;=DATE(2025,9,1), B132&lt;=DATE(2025,9,30)), U132/DDashboard!$C$10,AND(B132&gt;=DATE(2025,10,1), B132&lt;=DATE(2025,10,31)), U132/DDashboard!$C$11,AND(B132&gt;=DATE(2025,11,1), B132&lt;=DATE(2025,11,30)), U132/DDashboard!$C$12, AND(B132&gt;=DATE(2025,12,1), B132&lt;=DATE(2025,12,31)), U132/DDashboard!$C$13, True, "")
</f>
        <v/>
      </c>
      <c r="W132" s="201" t="str">
        <f t="shared" si="3"/>
        <v/>
      </c>
      <c r="X132" s="202"/>
      <c r="Y132" s="203"/>
      <c r="Z132" s="391"/>
      <c r="AA132" s="198"/>
      <c r="AB132" s="222"/>
      <c r="AC132" s="223"/>
      <c r="AD132" s="195"/>
      <c r="AE132" s="222"/>
      <c r="AF132" s="223"/>
      <c r="AG132" s="206" t="str">
        <f t="shared" si="4"/>
        <v/>
      </c>
      <c r="AH132" s="385" t="str">
        <f t="shared" si="5"/>
        <v/>
      </c>
      <c r="AI132" s="207" t="str">
        <f t="shared" si="24"/>
        <v/>
      </c>
      <c r="AJ132" s="367" t="str">
        <f t="shared" si="7"/>
        <v/>
      </c>
      <c r="AK132" s="208" t="str">
        <f t="shared" si="25"/>
        <v/>
      </c>
      <c r="AL132" s="207" t="str">
        <f t="shared" si="22"/>
        <v/>
      </c>
      <c r="AM132" s="209" t="str">
        <f>IF(AN132="", "", IF(AN132="Closed", 
    IF(ISNUMBER(AF132), AF132-B132,
        IF(ISNUMBER(AC132), AC132-B132,
            IF(ISNUMBER(Z132), Z132-B132, "")
        )
    ), 
    TODAY()-B132))</f>
        <v/>
      </c>
      <c r="AN132" s="386" t="str">
        <f t="shared" si="11"/>
        <v/>
      </c>
      <c r="AO132" s="366" t="str">
        <f t="shared" si="12"/>
        <v/>
      </c>
      <c r="AP132" s="210" t="str">
        <f t="shared" si="13"/>
        <v/>
      </c>
      <c r="AQ132" s="196" t="str">
        <f t="shared" si="26"/>
        <v/>
      </c>
      <c r="AR132" s="168" t="str">
        <f>IFS(AND(B132&gt;=DATE(2025,1,1), B132&lt;=DATE(2025,1,31)), AQ132/DDashboard!$C$2, AND(B132&gt;=DATE(2025,2,1), B132&lt;=DATE(2025,2,28)), AQ132/DDashboard!$C$3, AND(B132&gt;=DATE(2025,3,1), B132&lt;=DATE(2025,3,31)), AQ132/DDashboard!$C$4, AND(B132&gt;=DATE(2025,4,1), B132&lt;=DATE(2025,4,30)), AQ132/DDashboard!$C$5,AND(B132&gt;=DATE(2025,5,1), B132&lt;=DATE(2025,5,31)), AQ132/DDashboard!$C$6,AND(B132&gt;=DATE(2025,6,1), B132&lt;=DATE(2025,6,30)), AQ132/DDashboard!$C$7,AND(B132&gt;=DATE(2025,7,1), B132&lt;=DATE(2025,7,31)), AQ132/DDashboard!$C$8,AND(B132&gt;=DATE(2025,8,1), B132&lt;=DATE(2025,8,31)), AQ132/DDashboard!$C$9,AND(B132&gt;=DATE(2025,9,1), B132&lt;=DATE(2025,9,30)), AQ132/DDashboard!$C$10,AND(B132&gt;=DATE(2025,10,1), B132&lt;=DATE(2025,10,31)), AQ132/DDashboard!$C$11,AND(B132&gt;=DATE(2025,11,1), B132&lt;=DATE(2025,11,30)), AQ132/DDashboard!$C$12, AND(B132&gt;=DATE(2025,12,1), B132&lt;=DATE(2025,12,31)), AQ132/DDashboard!$C$13, True, "")
</f>
        <v/>
      </c>
      <c r="AS132" s="200" t="str">
        <f t="array" ref="AS132">IF(ISBLANK(C132), "", SUM($AR$9:AR132)
)</f>
        <v/>
      </c>
      <c r="AT132" s="169" t="b">
        <v>0</v>
      </c>
      <c r="AU132" s="169"/>
      <c r="AV132" s="169"/>
      <c r="AW132" s="169"/>
      <c r="AX132" s="387"/>
    </row>
    <row r="133">
      <c r="A133" s="389">
        <v>132.0</v>
      </c>
      <c r="B133" s="138"/>
      <c r="C133" s="139"/>
      <c r="D133" s="401"/>
      <c r="E133" s="141"/>
      <c r="F133" s="142"/>
      <c r="G133" s="398" t="str">
        <f t="shared" si="1"/>
        <v/>
      </c>
      <c r="H133" s="399"/>
      <c r="I133" s="399"/>
      <c r="J133" s="141"/>
      <c r="K133" s="145" t="str">
        <f>IFERROR(__xludf.DUMMYFUNCTION("IF(ISBLANK(C133), """", GOOGLEFINANCE(""NSE:"" &amp; C133,""price""))"),"")</f>
        <v/>
      </c>
      <c r="L133" s="146"/>
      <c r="M133" s="147"/>
      <c r="N133" s="148"/>
      <c r="O133" s="149"/>
      <c r="P133" s="150"/>
      <c r="Q133" s="377"/>
      <c r="R133" s="152"/>
      <c r="S133" s="150"/>
      <c r="T133" s="377"/>
      <c r="U133" s="153" t="str">
        <f t="shared" si="23"/>
        <v/>
      </c>
      <c r="V133" s="154" t="str">
        <f>IFS(AND(B133&gt;=DATE(2025,1,1), B133&lt;=DATE(2025,1,31)), U133/DDashboard!$C$2, AND(B133&gt;=DATE(2025,2,1), B133&lt;=DATE(2025,2,28)), U133/DDashboard!$C$3, AND(B133&gt;=DATE(2025,3,1), B133&lt;=DATE(2025,3,31)), U133/DDashboard!$C$4, AND(B133&gt;=DATE(2025,4,1), B133&lt;=DATE(2025,4,30)), U133/DDashboard!$C$5,AND(B133&gt;=DATE(2025,5,1), B133&lt;=DATE(2025,5,31)), U133/DDashboard!$C$6,AND(B133&gt;=DATE(2025,6,1), B133&lt;=DATE(2025,6,30)), U133/DDashboard!$C$7,AND(B133&gt;=DATE(2025,7,1), B133&lt;=DATE(2025,7,31)), U133/DDashboard!$C$8,AND(B133&gt;=DATE(2025,8,1), B133&lt;=DATE(2025,8,31)), U133/DDashboard!$C$9,AND(B133&gt;=DATE(2025,9,1), B133&lt;=DATE(2025,9,30)), U133/DDashboard!$C$10,AND(B133&gt;=DATE(2025,10,1), B133&lt;=DATE(2025,10,31)), U133/DDashboard!$C$11,AND(B133&gt;=DATE(2025,11,1), B133&lt;=DATE(2025,11,30)), U133/DDashboard!$C$12, AND(B133&gt;=DATE(2025,12,1), B133&lt;=DATE(2025,12,31)), U133/DDashboard!$C$13, True, "")
</f>
        <v/>
      </c>
      <c r="W133" s="65" t="str">
        <f t="shared" si="3"/>
        <v/>
      </c>
      <c r="X133" s="155"/>
      <c r="Y133" s="156"/>
      <c r="Z133" s="392"/>
      <c r="AA133" s="390"/>
      <c r="AB133" s="359"/>
      <c r="AC133" s="360"/>
      <c r="AD133" s="358"/>
      <c r="AE133" s="359"/>
      <c r="AF133" s="360"/>
      <c r="AG133" s="160" t="str">
        <f t="shared" si="4"/>
        <v/>
      </c>
      <c r="AH133" s="393" t="str">
        <f t="shared" si="5"/>
        <v/>
      </c>
      <c r="AI133" s="161" t="str">
        <f t="shared" si="24"/>
        <v/>
      </c>
      <c r="AJ133" s="365" t="str">
        <f t="shared" si="7"/>
        <v/>
      </c>
      <c r="AK133" s="162" t="str">
        <f t="shared" si="25"/>
        <v/>
      </c>
      <c r="AL133" s="161" t="str">
        <f t="shared" si="22"/>
        <v/>
      </c>
      <c r="AM133" s="163" t="str">
        <f>IF(AN133="", "", IF(AN133="Closed", IF(ISNUMBER(AF133), AF133-B133,IF(ISNUMBER(AC133), AC133-B133,IF(ISNUMBER(Z133), Z133-B133, ""))), TODAY()-B133))
</f>
        <v/>
      </c>
      <c r="AN133" s="381" t="str">
        <f t="shared" si="11"/>
        <v/>
      </c>
      <c r="AO133" s="366" t="str">
        <f t="shared" si="12"/>
        <v/>
      </c>
      <c r="AP133" s="166" t="str">
        <f t="shared" si="13"/>
        <v/>
      </c>
      <c r="AQ133" s="167" t="str">
        <f t="shared" si="26"/>
        <v/>
      </c>
      <c r="AR133" s="168" t="str">
        <f>IFS(AND(B133&gt;=DATE(2025,1,1), B133&lt;=DATE(2025,1,31)), AQ133/DDashboard!$C$2, AND(B133&gt;=DATE(2025,2,1), B133&lt;=DATE(2025,2,28)), AQ133/DDashboard!$C$3, AND(B133&gt;=DATE(2025,3,1), B133&lt;=DATE(2025,3,31)), AQ133/DDashboard!$C$4, AND(B133&gt;=DATE(2025,4,1), B133&lt;=DATE(2025,4,30)), AQ133/DDashboard!$C$5,AND(B133&gt;=DATE(2025,5,1), B133&lt;=DATE(2025,5,31)), AQ133/DDashboard!$C$6,AND(B133&gt;=DATE(2025,6,1), B133&lt;=DATE(2025,6,30)), AQ133/DDashboard!$C$7,AND(B133&gt;=DATE(2025,7,1), B133&lt;=DATE(2025,7,31)), AQ133/DDashboard!$C$8,AND(B133&gt;=DATE(2025,8,1), B133&lt;=DATE(2025,8,31)), AQ133/DDashboard!$C$9,AND(B133&gt;=DATE(2025,9,1), B133&lt;=DATE(2025,9,30)), AQ133/DDashboard!$C$10,AND(B133&gt;=DATE(2025,10,1), B133&lt;=DATE(2025,10,31)), AQ133/DDashboard!$C$11,AND(B133&gt;=DATE(2025,11,1), B133&lt;=DATE(2025,11,30)), AQ133/DDashboard!$C$12, AND(B133&gt;=DATE(2025,12,1), B133&lt;=DATE(2025,12,31)), AQ133/DDashboard!$C$13, True, "")
</f>
        <v/>
      </c>
      <c r="AS133" s="200" t="str">
        <f t="array" ref="AS133">IF(ISBLANK(C133), "", SUM($AR$9:AR133)
)</f>
        <v/>
      </c>
      <c r="AT133" s="169" t="b">
        <v>0</v>
      </c>
      <c r="AU133" s="169"/>
      <c r="AV133" s="169"/>
      <c r="AW133" s="169"/>
      <c r="AX133" s="383"/>
    </row>
    <row r="134">
      <c r="A134" s="388">
        <v>133.0</v>
      </c>
      <c r="B134" s="184"/>
      <c r="C134" s="185"/>
      <c r="D134" s="400"/>
      <c r="E134" s="187"/>
      <c r="F134" s="188"/>
      <c r="G134" s="397" t="str">
        <f t="shared" si="1"/>
        <v/>
      </c>
      <c r="H134" s="402"/>
      <c r="I134" s="402"/>
      <c r="J134" s="187"/>
      <c r="K134" s="145" t="str">
        <f>IFERROR(__xludf.DUMMYFUNCTION("IF(ISBLANK(C134), """", GOOGLEFINANCE(""NSE:"" &amp; C134,""price""))"),"")</f>
        <v/>
      </c>
      <c r="L134" s="213"/>
      <c r="M134" s="193"/>
      <c r="N134" s="194"/>
      <c r="O134" s="195"/>
      <c r="P134" s="196"/>
      <c r="Q134" s="376"/>
      <c r="R134" s="198"/>
      <c r="S134" s="196"/>
      <c r="T134" s="376"/>
      <c r="U134" s="199" t="str">
        <f t="shared" si="23"/>
        <v/>
      </c>
      <c r="V134" s="200" t="str">
        <f>IFS(AND(B134&gt;=DATE(2025,1,1), B134&lt;=DATE(2025,1,31)), U134/DDashboard!$C$2, AND(B134&gt;=DATE(2025,2,1), B134&lt;=DATE(2025,2,28)), U134/DDashboard!$C$3, AND(B134&gt;=DATE(2025,3,1), B134&lt;=DATE(2025,3,31)), U134/DDashboard!$C$4, AND(B134&gt;=DATE(2025,4,1), B134&lt;=DATE(2025,4,30)), U134/DDashboard!$C$5,AND(B134&gt;=DATE(2025,5,1), B134&lt;=DATE(2025,5,31)), U134/DDashboard!$C$6,AND(B134&gt;=DATE(2025,6,1), B134&lt;=DATE(2025,6,30)), U134/DDashboard!$C$7,AND(B134&gt;=DATE(2025,7,1), B134&lt;=DATE(2025,7,31)), U134/DDashboard!$C$8,AND(B134&gt;=DATE(2025,8,1), B134&lt;=DATE(2025,8,31)), U134/DDashboard!$C$9,AND(B134&gt;=DATE(2025,9,1), B134&lt;=DATE(2025,9,30)), U134/DDashboard!$C$10,AND(B134&gt;=DATE(2025,10,1), B134&lt;=DATE(2025,10,31)), U134/DDashboard!$C$11,AND(B134&gt;=DATE(2025,11,1), B134&lt;=DATE(2025,11,30)), U134/DDashboard!$C$12, AND(B134&gt;=DATE(2025,12,1), B134&lt;=DATE(2025,12,31)), U134/DDashboard!$C$13, True, "")
</f>
        <v/>
      </c>
      <c r="W134" s="201" t="str">
        <f t="shared" si="3"/>
        <v/>
      </c>
      <c r="X134" s="202"/>
      <c r="Y134" s="203"/>
      <c r="Z134" s="391"/>
      <c r="AA134" s="198"/>
      <c r="AB134" s="222"/>
      <c r="AC134" s="223"/>
      <c r="AD134" s="195"/>
      <c r="AE134" s="222"/>
      <c r="AF134" s="223"/>
      <c r="AG134" s="206" t="str">
        <f t="shared" si="4"/>
        <v/>
      </c>
      <c r="AH134" s="385" t="str">
        <f t="shared" si="5"/>
        <v/>
      </c>
      <c r="AI134" s="207" t="str">
        <f t="shared" si="24"/>
        <v/>
      </c>
      <c r="AJ134" s="367" t="str">
        <f t="shared" si="7"/>
        <v/>
      </c>
      <c r="AK134" s="208" t="str">
        <f t="shared" si="25"/>
        <v/>
      </c>
      <c r="AL134" s="207" t="str">
        <f t="shared" si="22"/>
        <v/>
      </c>
      <c r="AM134" s="209" t="str">
        <f>IF(AN134="", "", IF(AN134="Closed", 
    IF(ISNUMBER(AF134), AF134-B134,
        IF(ISNUMBER(AC134), AC134-B134,
            IF(ISNUMBER(Z134), Z134-B134, "")
        )
    ), 
    TODAY()-B134))</f>
        <v/>
      </c>
      <c r="AN134" s="386" t="str">
        <f t="shared" si="11"/>
        <v/>
      </c>
      <c r="AO134" s="366" t="str">
        <f t="shared" si="12"/>
        <v/>
      </c>
      <c r="AP134" s="210" t="str">
        <f t="shared" si="13"/>
        <v/>
      </c>
      <c r="AQ134" s="196" t="str">
        <f t="shared" si="26"/>
        <v/>
      </c>
      <c r="AR134" s="168" t="str">
        <f>IFS(AND(B134&gt;=DATE(2025,1,1), B134&lt;=DATE(2025,1,31)), AQ134/DDashboard!$C$2, AND(B134&gt;=DATE(2025,2,1), B134&lt;=DATE(2025,2,28)), AQ134/DDashboard!$C$3, AND(B134&gt;=DATE(2025,3,1), B134&lt;=DATE(2025,3,31)), AQ134/DDashboard!$C$4, AND(B134&gt;=DATE(2025,4,1), B134&lt;=DATE(2025,4,30)), AQ134/DDashboard!$C$5,AND(B134&gt;=DATE(2025,5,1), B134&lt;=DATE(2025,5,31)), AQ134/DDashboard!$C$6,AND(B134&gt;=DATE(2025,6,1), B134&lt;=DATE(2025,6,30)), AQ134/DDashboard!$C$7,AND(B134&gt;=DATE(2025,7,1), B134&lt;=DATE(2025,7,31)), AQ134/DDashboard!$C$8,AND(B134&gt;=DATE(2025,8,1), B134&lt;=DATE(2025,8,31)), AQ134/DDashboard!$C$9,AND(B134&gt;=DATE(2025,9,1), B134&lt;=DATE(2025,9,30)), AQ134/DDashboard!$C$10,AND(B134&gt;=DATE(2025,10,1), B134&lt;=DATE(2025,10,31)), AQ134/DDashboard!$C$11,AND(B134&gt;=DATE(2025,11,1), B134&lt;=DATE(2025,11,30)), AQ134/DDashboard!$C$12, AND(B134&gt;=DATE(2025,12,1), B134&lt;=DATE(2025,12,31)), AQ134/DDashboard!$C$13, True, "")
</f>
        <v/>
      </c>
      <c r="AS134" s="200" t="str">
        <f t="array" ref="AS134">IF(ISBLANK(C134), "", SUM($AR$9:AR134)
)</f>
        <v/>
      </c>
      <c r="AT134" s="169" t="b">
        <v>0</v>
      </c>
      <c r="AU134" s="169"/>
      <c r="AV134" s="169"/>
      <c r="AW134" s="169"/>
      <c r="AX134" s="387"/>
    </row>
    <row r="135">
      <c r="A135" s="389">
        <v>134.0</v>
      </c>
      <c r="B135" s="138"/>
      <c r="C135" s="139"/>
      <c r="D135" s="401"/>
      <c r="E135" s="141"/>
      <c r="F135" s="142"/>
      <c r="G135" s="398" t="str">
        <f t="shared" si="1"/>
        <v/>
      </c>
      <c r="H135" s="399"/>
      <c r="I135" s="399"/>
      <c r="J135" s="141"/>
      <c r="K135" s="145" t="str">
        <f>IFERROR(__xludf.DUMMYFUNCTION("IF(ISBLANK(C135), """", GOOGLEFINANCE(""NSE:"" &amp; C135,""price""))"),"")</f>
        <v/>
      </c>
      <c r="L135" s="146"/>
      <c r="M135" s="147"/>
      <c r="N135" s="148"/>
      <c r="O135" s="149"/>
      <c r="P135" s="150"/>
      <c r="Q135" s="377"/>
      <c r="R135" s="152"/>
      <c r="S135" s="150"/>
      <c r="T135" s="377"/>
      <c r="U135" s="153" t="str">
        <f t="shared" si="23"/>
        <v/>
      </c>
      <c r="V135" s="154" t="str">
        <f>IFS(AND(B135&gt;=DATE(2025,1,1), B135&lt;=DATE(2025,1,31)), U135/DDashboard!$C$2, AND(B135&gt;=DATE(2025,2,1), B135&lt;=DATE(2025,2,28)), U135/DDashboard!$C$3, AND(B135&gt;=DATE(2025,3,1), B135&lt;=DATE(2025,3,31)), U135/DDashboard!$C$4, AND(B135&gt;=DATE(2025,4,1), B135&lt;=DATE(2025,4,30)), U135/DDashboard!$C$5,AND(B135&gt;=DATE(2025,5,1), B135&lt;=DATE(2025,5,31)), U135/DDashboard!$C$6,AND(B135&gt;=DATE(2025,6,1), B135&lt;=DATE(2025,6,30)), U135/DDashboard!$C$7,AND(B135&gt;=DATE(2025,7,1), B135&lt;=DATE(2025,7,31)), U135/DDashboard!$C$8,AND(B135&gt;=DATE(2025,8,1), B135&lt;=DATE(2025,8,31)), U135/DDashboard!$C$9,AND(B135&gt;=DATE(2025,9,1), B135&lt;=DATE(2025,9,30)), U135/DDashboard!$C$10,AND(B135&gt;=DATE(2025,10,1), B135&lt;=DATE(2025,10,31)), U135/DDashboard!$C$11,AND(B135&gt;=DATE(2025,11,1), B135&lt;=DATE(2025,11,30)), U135/DDashboard!$C$12, AND(B135&gt;=DATE(2025,12,1), B135&lt;=DATE(2025,12,31)), U135/DDashboard!$C$13, True, "")
</f>
        <v/>
      </c>
      <c r="W135" s="65" t="str">
        <f t="shared" si="3"/>
        <v/>
      </c>
      <c r="X135" s="155"/>
      <c r="Y135" s="156"/>
      <c r="Z135" s="392"/>
      <c r="AA135" s="390"/>
      <c r="AB135" s="359"/>
      <c r="AC135" s="360"/>
      <c r="AD135" s="358"/>
      <c r="AE135" s="359"/>
      <c r="AF135" s="360"/>
      <c r="AG135" s="160" t="str">
        <f t="shared" si="4"/>
        <v/>
      </c>
      <c r="AH135" s="393" t="str">
        <f t="shared" si="5"/>
        <v/>
      </c>
      <c r="AI135" s="161" t="str">
        <f t="shared" si="24"/>
        <v/>
      </c>
      <c r="AJ135" s="365" t="str">
        <f t="shared" si="7"/>
        <v/>
      </c>
      <c r="AK135" s="162" t="str">
        <f t="shared" si="25"/>
        <v/>
      </c>
      <c r="AL135" s="161" t="str">
        <f t="shared" si="22"/>
        <v/>
      </c>
      <c r="AM135" s="163" t="str">
        <f>IF(AN135="", "", IF(AN135="Closed", IF(ISNUMBER(AF135), AF135-B135,IF(ISNUMBER(AC135), AC135-B135,IF(ISNUMBER(Z135), Z135-B135, ""))), TODAY()-B135))
</f>
        <v/>
      </c>
      <c r="AN135" s="381" t="str">
        <f t="shared" si="11"/>
        <v/>
      </c>
      <c r="AO135" s="366" t="str">
        <f t="shared" si="12"/>
        <v/>
      </c>
      <c r="AP135" s="166" t="str">
        <f t="shared" si="13"/>
        <v/>
      </c>
      <c r="AQ135" s="167" t="str">
        <f t="shared" si="26"/>
        <v/>
      </c>
      <c r="AR135" s="168" t="str">
        <f>IFS(AND(B135&gt;=DATE(2025,1,1), B135&lt;=DATE(2025,1,31)), AQ135/DDashboard!$C$2, AND(B135&gt;=DATE(2025,2,1), B135&lt;=DATE(2025,2,28)), AQ135/DDashboard!$C$3, AND(B135&gt;=DATE(2025,3,1), B135&lt;=DATE(2025,3,31)), AQ135/DDashboard!$C$4, AND(B135&gt;=DATE(2025,4,1), B135&lt;=DATE(2025,4,30)), AQ135/DDashboard!$C$5,AND(B135&gt;=DATE(2025,5,1), B135&lt;=DATE(2025,5,31)), AQ135/DDashboard!$C$6,AND(B135&gt;=DATE(2025,6,1), B135&lt;=DATE(2025,6,30)), AQ135/DDashboard!$C$7,AND(B135&gt;=DATE(2025,7,1), B135&lt;=DATE(2025,7,31)), AQ135/DDashboard!$C$8,AND(B135&gt;=DATE(2025,8,1), B135&lt;=DATE(2025,8,31)), AQ135/DDashboard!$C$9,AND(B135&gt;=DATE(2025,9,1), B135&lt;=DATE(2025,9,30)), AQ135/DDashboard!$C$10,AND(B135&gt;=DATE(2025,10,1), B135&lt;=DATE(2025,10,31)), AQ135/DDashboard!$C$11,AND(B135&gt;=DATE(2025,11,1), B135&lt;=DATE(2025,11,30)), AQ135/DDashboard!$C$12, AND(B135&gt;=DATE(2025,12,1), B135&lt;=DATE(2025,12,31)), AQ135/DDashboard!$C$13, True, "")
</f>
        <v/>
      </c>
      <c r="AS135" s="200" t="str">
        <f t="array" ref="AS135">IF(ISBLANK(C135), "", SUM($AR$9:AR135)
)</f>
        <v/>
      </c>
      <c r="AT135" s="169" t="b">
        <v>0</v>
      </c>
      <c r="AU135" s="169"/>
      <c r="AV135" s="169"/>
      <c r="AW135" s="169"/>
      <c r="AX135" s="383"/>
    </row>
    <row r="136">
      <c r="A136" s="388">
        <v>135.0</v>
      </c>
      <c r="B136" s="184"/>
      <c r="C136" s="185"/>
      <c r="D136" s="400"/>
      <c r="E136" s="187"/>
      <c r="F136" s="188"/>
      <c r="G136" s="397" t="str">
        <f t="shared" si="1"/>
        <v/>
      </c>
      <c r="H136" s="402"/>
      <c r="I136" s="402"/>
      <c r="J136" s="187"/>
      <c r="K136" s="145" t="str">
        <f>IFERROR(__xludf.DUMMYFUNCTION("IF(ISBLANK(C136), """", GOOGLEFINANCE(""NSE:"" &amp; C136,""price""))"),"")</f>
        <v/>
      </c>
      <c r="L136" s="213"/>
      <c r="M136" s="193"/>
      <c r="N136" s="194"/>
      <c r="O136" s="195"/>
      <c r="P136" s="196"/>
      <c r="Q136" s="376"/>
      <c r="R136" s="198"/>
      <c r="S136" s="196"/>
      <c r="T136" s="376"/>
      <c r="U136" s="199" t="str">
        <f t="shared" si="23"/>
        <v/>
      </c>
      <c r="V136" s="200" t="str">
        <f>IFS(AND(B136&gt;=DATE(2025,1,1), B136&lt;=DATE(2025,1,31)), U136/DDashboard!$C$2, AND(B136&gt;=DATE(2025,2,1), B136&lt;=DATE(2025,2,28)), U136/DDashboard!$C$3, AND(B136&gt;=DATE(2025,3,1), B136&lt;=DATE(2025,3,31)), U136/DDashboard!$C$4, AND(B136&gt;=DATE(2025,4,1), B136&lt;=DATE(2025,4,30)), U136/DDashboard!$C$5,AND(B136&gt;=DATE(2025,5,1), B136&lt;=DATE(2025,5,31)), U136/DDashboard!$C$6,AND(B136&gt;=DATE(2025,6,1), B136&lt;=DATE(2025,6,30)), U136/DDashboard!$C$7,AND(B136&gt;=DATE(2025,7,1), B136&lt;=DATE(2025,7,31)), U136/DDashboard!$C$8,AND(B136&gt;=DATE(2025,8,1), B136&lt;=DATE(2025,8,31)), U136/DDashboard!$C$9,AND(B136&gt;=DATE(2025,9,1), B136&lt;=DATE(2025,9,30)), U136/DDashboard!$C$10,AND(B136&gt;=DATE(2025,10,1), B136&lt;=DATE(2025,10,31)), U136/DDashboard!$C$11,AND(B136&gt;=DATE(2025,11,1), B136&lt;=DATE(2025,11,30)), U136/DDashboard!$C$12, AND(B136&gt;=DATE(2025,12,1), B136&lt;=DATE(2025,12,31)), U136/DDashboard!$C$13, True, "")
</f>
        <v/>
      </c>
      <c r="W136" s="201" t="str">
        <f t="shared" si="3"/>
        <v/>
      </c>
      <c r="X136" s="202"/>
      <c r="Y136" s="203"/>
      <c r="Z136" s="391"/>
      <c r="AA136" s="198"/>
      <c r="AB136" s="222"/>
      <c r="AC136" s="223"/>
      <c r="AD136" s="195"/>
      <c r="AE136" s="222"/>
      <c r="AF136" s="223"/>
      <c r="AG136" s="206" t="str">
        <f t="shared" si="4"/>
        <v/>
      </c>
      <c r="AH136" s="385" t="str">
        <f t="shared" si="5"/>
        <v/>
      </c>
      <c r="AI136" s="207" t="str">
        <f t="shared" si="24"/>
        <v/>
      </c>
      <c r="AJ136" s="367" t="str">
        <f t="shared" si="7"/>
        <v/>
      </c>
      <c r="AK136" s="208" t="str">
        <f t="shared" si="25"/>
        <v/>
      </c>
      <c r="AL136" s="207" t="str">
        <f t="shared" si="22"/>
        <v/>
      </c>
      <c r="AM136" s="209" t="str">
        <f>IF(AN136="", "", IF(AN136="Closed", 
    IF(ISNUMBER(AF136), AF136-B136,
        IF(ISNUMBER(AC136), AC136-B136,
            IF(ISNUMBER(Z136), Z136-B136, "")
        )
    ), 
    TODAY()-B136))</f>
        <v/>
      </c>
      <c r="AN136" s="386" t="str">
        <f t="shared" si="11"/>
        <v/>
      </c>
      <c r="AO136" s="366" t="str">
        <f t="shared" si="12"/>
        <v/>
      </c>
      <c r="AP136" s="210" t="str">
        <f t="shared" si="13"/>
        <v/>
      </c>
      <c r="AQ136" s="196" t="str">
        <f t="shared" si="26"/>
        <v/>
      </c>
      <c r="AR136" s="168" t="str">
        <f>IFS(AND(B136&gt;=DATE(2025,1,1), B136&lt;=DATE(2025,1,31)), AQ136/DDashboard!$C$2, AND(B136&gt;=DATE(2025,2,1), B136&lt;=DATE(2025,2,28)), AQ136/DDashboard!$C$3, AND(B136&gt;=DATE(2025,3,1), B136&lt;=DATE(2025,3,31)), AQ136/DDashboard!$C$4, AND(B136&gt;=DATE(2025,4,1), B136&lt;=DATE(2025,4,30)), AQ136/DDashboard!$C$5,AND(B136&gt;=DATE(2025,5,1), B136&lt;=DATE(2025,5,31)), AQ136/DDashboard!$C$6,AND(B136&gt;=DATE(2025,6,1), B136&lt;=DATE(2025,6,30)), AQ136/DDashboard!$C$7,AND(B136&gt;=DATE(2025,7,1), B136&lt;=DATE(2025,7,31)), AQ136/DDashboard!$C$8,AND(B136&gt;=DATE(2025,8,1), B136&lt;=DATE(2025,8,31)), AQ136/DDashboard!$C$9,AND(B136&gt;=DATE(2025,9,1), B136&lt;=DATE(2025,9,30)), AQ136/DDashboard!$C$10,AND(B136&gt;=DATE(2025,10,1), B136&lt;=DATE(2025,10,31)), AQ136/DDashboard!$C$11,AND(B136&gt;=DATE(2025,11,1), B136&lt;=DATE(2025,11,30)), AQ136/DDashboard!$C$12, AND(B136&gt;=DATE(2025,12,1), B136&lt;=DATE(2025,12,31)), AQ136/DDashboard!$C$13, True, "")
</f>
        <v/>
      </c>
      <c r="AS136" s="200" t="str">
        <f t="array" ref="AS136">IF(ISBLANK(C136), "", SUM($AR$9:AR136)
)</f>
        <v/>
      </c>
      <c r="AT136" s="169" t="b">
        <v>0</v>
      </c>
      <c r="AU136" s="169"/>
      <c r="AV136" s="169"/>
      <c r="AW136" s="169"/>
      <c r="AX136" s="387"/>
    </row>
    <row r="137">
      <c r="A137" s="389">
        <v>136.0</v>
      </c>
      <c r="B137" s="138"/>
      <c r="C137" s="139"/>
      <c r="D137" s="401"/>
      <c r="E137" s="141"/>
      <c r="F137" s="142"/>
      <c r="G137" s="398" t="str">
        <f t="shared" si="1"/>
        <v/>
      </c>
      <c r="H137" s="399"/>
      <c r="I137" s="399"/>
      <c r="J137" s="141"/>
      <c r="K137" s="145" t="str">
        <f>IFERROR(__xludf.DUMMYFUNCTION("IF(ISBLANK(C137), """", GOOGLEFINANCE(""NSE:"" &amp; C137,""price""))"),"")</f>
        <v/>
      </c>
      <c r="L137" s="146"/>
      <c r="M137" s="147"/>
      <c r="N137" s="148"/>
      <c r="O137" s="149"/>
      <c r="P137" s="150"/>
      <c r="Q137" s="377"/>
      <c r="R137" s="152"/>
      <c r="S137" s="150"/>
      <c r="T137" s="377"/>
      <c r="U137" s="153" t="str">
        <f t="shared" si="23"/>
        <v/>
      </c>
      <c r="V137" s="154" t="str">
        <f>IFS(AND(B137&gt;=DATE(2025,1,1), B137&lt;=DATE(2025,1,31)), U137/DDashboard!$C$2, AND(B137&gt;=DATE(2025,2,1), B137&lt;=DATE(2025,2,28)), U137/DDashboard!$C$3, AND(B137&gt;=DATE(2025,3,1), B137&lt;=DATE(2025,3,31)), U137/DDashboard!$C$4, AND(B137&gt;=DATE(2025,4,1), B137&lt;=DATE(2025,4,30)), U137/DDashboard!$C$5,AND(B137&gt;=DATE(2025,5,1), B137&lt;=DATE(2025,5,31)), U137/DDashboard!$C$6,AND(B137&gt;=DATE(2025,6,1), B137&lt;=DATE(2025,6,30)), U137/DDashboard!$C$7,AND(B137&gt;=DATE(2025,7,1), B137&lt;=DATE(2025,7,31)), U137/DDashboard!$C$8,AND(B137&gt;=DATE(2025,8,1), B137&lt;=DATE(2025,8,31)), U137/DDashboard!$C$9,AND(B137&gt;=DATE(2025,9,1), B137&lt;=DATE(2025,9,30)), U137/DDashboard!$C$10,AND(B137&gt;=DATE(2025,10,1), B137&lt;=DATE(2025,10,31)), U137/DDashboard!$C$11,AND(B137&gt;=DATE(2025,11,1), B137&lt;=DATE(2025,11,30)), U137/DDashboard!$C$12, AND(B137&gt;=DATE(2025,12,1), B137&lt;=DATE(2025,12,31)), U137/DDashboard!$C$13, True, "")
</f>
        <v/>
      </c>
      <c r="W137" s="65" t="str">
        <f t="shared" si="3"/>
        <v/>
      </c>
      <c r="X137" s="155"/>
      <c r="Y137" s="156"/>
      <c r="Z137" s="392"/>
      <c r="AA137" s="390"/>
      <c r="AB137" s="359"/>
      <c r="AC137" s="360"/>
      <c r="AD137" s="358"/>
      <c r="AE137" s="359"/>
      <c r="AF137" s="360"/>
      <c r="AG137" s="160" t="str">
        <f t="shared" si="4"/>
        <v/>
      </c>
      <c r="AH137" s="393" t="str">
        <f t="shared" si="5"/>
        <v/>
      </c>
      <c r="AI137" s="161" t="str">
        <f t="shared" si="24"/>
        <v/>
      </c>
      <c r="AJ137" s="365" t="str">
        <f t="shared" si="7"/>
        <v/>
      </c>
      <c r="AK137" s="162" t="str">
        <f t="shared" si="25"/>
        <v/>
      </c>
      <c r="AL137" s="161" t="str">
        <f t="shared" si="22"/>
        <v/>
      </c>
      <c r="AM137" s="163" t="str">
        <f>IF(AN137="", "", IF(AN137="Closed", IF(ISNUMBER(AF137), AF137-B137,IF(ISNUMBER(AC137), AC137-B137,IF(ISNUMBER(Z137), Z137-B137, ""))), TODAY()-B137))
</f>
        <v/>
      </c>
      <c r="AN137" s="381" t="str">
        <f t="shared" si="11"/>
        <v/>
      </c>
      <c r="AO137" s="366" t="str">
        <f t="shared" si="12"/>
        <v/>
      </c>
      <c r="AP137" s="166" t="str">
        <f t="shared" si="13"/>
        <v/>
      </c>
      <c r="AQ137" s="167" t="str">
        <f t="shared" si="26"/>
        <v/>
      </c>
      <c r="AR137" s="168" t="str">
        <f>IFS(AND(B137&gt;=DATE(2025,1,1), B137&lt;=DATE(2025,1,31)), AQ137/DDashboard!$C$2, AND(B137&gt;=DATE(2025,2,1), B137&lt;=DATE(2025,2,28)), AQ137/DDashboard!$C$3, AND(B137&gt;=DATE(2025,3,1), B137&lt;=DATE(2025,3,31)), AQ137/DDashboard!$C$4, AND(B137&gt;=DATE(2025,4,1), B137&lt;=DATE(2025,4,30)), AQ137/DDashboard!$C$5,AND(B137&gt;=DATE(2025,5,1), B137&lt;=DATE(2025,5,31)), AQ137/DDashboard!$C$6,AND(B137&gt;=DATE(2025,6,1), B137&lt;=DATE(2025,6,30)), AQ137/DDashboard!$C$7,AND(B137&gt;=DATE(2025,7,1), B137&lt;=DATE(2025,7,31)), AQ137/DDashboard!$C$8,AND(B137&gt;=DATE(2025,8,1), B137&lt;=DATE(2025,8,31)), AQ137/DDashboard!$C$9,AND(B137&gt;=DATE(2025,9,1), B137&lt;=DATE(2025,9,30)), AQ137/DDashboard!$C$10,AND(B137&gt;=DATE(2025,10,1), B137&lt;=DATE(2025,10,31)), AQ137/DDashboard!$C$11,AND(B137&gt;=DATE(2025,11,1), B137&lt;=DATE(2025,11,30)), AQ137/DDashboard!$C$12, AND(B137&gt;=DATE(2025,12,1), B137&lt;=DATE(2025,12,31)), AQ137/DDashboard!$C$13, True, "")
</f>
        <v/>
      </c>
      <c r="AS137" s="200" t="str">
        <f t="array" ref="AS137">IF(ISBLANK(C137), "", SUM($AR$9:AR137)
)</f>
        <v/>
      </c>
      <c r="AT137" s="169" t="b">
        <v>0</v>
      </c>
      <c r="AU137" s="169"/>
      <c r="AV137" s="169"/>
      <c r="AW137" s="169"/>
      <c r="AX137" s="183"/>
    </row>
    <row r="138">
      <c r="A138" s="388">
        <v>137.0</v>
      </c>
      <c r="B138" s="184"/>
      <c r="C138" s="185"/>
      <c r="D138" s="400"/>
      <c r="E138" s="187"/>
      <c r="F138" s="188"/>
      <c r="G138" s="397" t="str">
        <f t="shared" si="1"/>
        <v/>
      </c>
      <c r="H138" s="402"/>
      <c r="I138" s="402"/>
      <c r="J138" s="187"/>
      <c r="K138" s="145" t="str">
        <f>IFERROR(__xludf.DUMMYFUNCTION("IF(ISBLANK(C138), """", GOOGLEFINANCE(""NSE:"" &amp; C138,""price""))"),"")</f>
        <v/>
      </c>
      <c r="L138" s="213"/>
      <c r="M138" s="193"/>
      <c r="N138" s="194"/>
      <c r="O138" s="195"/>
      <c r="P138" s="196"/>
      <c r="Q138" s="376"/>
      <c r="R138" s="198"/>
      <c r="S138" s="196"/>
      <c r="T138" s="376"/>
      <c r="U138" s="199" t="str">
        <f t="shared" si="23"/>
        <v/>
      </c>
      <c r="V138" s="200" t="str">
        <f>IFS(AND(B138&gt;=DATE(2025,1,1), B138&lt;=DATE(2025,1,31)), U138/DDashboard!$C$2, AND(B138&gt;=DATE(2025,2,1), B138&lt;=DATE(2025,2,28)), U138/DDashboard!$C$3, AND(B138&gt;=DATE(2025,3,1), B138&lt;=DATE(2025,3,31)), U138/DDashboard!$C$4, AND(B138&gt;=DATE(2025,4,1), B138&lt;=DATE(2025,4,30)), U138/DDashboard!$C$5,AND(B138&gt;=DATE(2025,5,1), B138&lt;=DATE(2025,5,31)), U138/DDashboard!$C$6,AND(B138&gt;=DATE(2025,6,1), B138&lt;=DATE(2025,6,30)), U138/DDashboard!$C$7,AND(B138&gt;=DATE(2025,7,1), B138&lt;=DATE(2025,7,31)), U138/DDashboard!$C$8,AND(B138&gt;=DATE(2025,8,1), B138&lt;=DATE(2025,8,31)), U138/DDashboard!$C$9,AND(B138&gt;=DATE(2025,9,1), B138&lt;=DATE(2025,9,30)), U138/DDashboard!$C$10,AND(B138&gt;=DATE(2025,10,1), B138&lt;=DATE(2025,10,31)), U138/DDashboard!$C$11,AND(B138&gt;=DATE(2025,11,1), B138&lt;=DATE(2025,11,30)), U138/DDashboard!$C$12, AND(B138&gt;=DATE(2025,12,1), B138&lt;=DATE(2025,12,31)), U138/DDashboard!$C$13, True, "")
</f>
        <v/>
      </c>
      <c r="W138" s="201" t="str">
        <f t="shared" si="3"/>
        <v/>
      </c>
      <c r="X138" s="202"/>
      <c r="Y138" s="203"/>
      <c r="Z138" s="391"/>
      <c r="AA138" s="198"/>
      <c r="AB138" s="222"/>
      <c r="AC138" s="223"/>
      <c r="AD138" s="195"/>
      <c r="AE138" s="222"/>
      <c r="AF138" s="223"/>
      <c r="AG138" s="206" t="str">
        <f t="shared" si="4"/>
        <v/>
      </c>
      <c r="AH138" s="385" t="str">
        <f t="shared" si="5"/>
        <v/>
      </c>
      <c r="AI138" s="207" t="str">
        <f t="shared" si="24"/>
        <v/>
      </c>
      <c r="AJ138" s="367" t="str">
        <f t="shared" si="7"/>
        <v/>
      </c>
      <c r="AK138" s="208" t="str">
        <f t="shared" si="25"/>
        <v/>
      </c>
      <c r="AL138" s="207" t="str">
        <f t="shared" si="22"/>
        <v/>
      </c>
      <c r="AM138" s="209" t="str">
        <f>IF(AN138="", "", IF(AN138="Closed", 
    IF(ISNUMBER(AF138), AF138-B138,
        IF(ISNUMBER(AC138), AC138-B138,
            IF(ISNUMBER(Z138), Z138-B138, "")
        )
    ), 
    TODAY()-B138))</f>
        <v/>
      </c>
      <c r="AN138" s="386" t="str">
        <f t="shared" si="11"/>
        <v/>
      </c>
      <c r="AO138" s="366" t="str">
        <f t="shared" si="12"/>
        <v/>
      </c>
      <c r="AP138" s="210" t="str">
        <f t="shared" si="13"/>
        <v/>
      </c>
      <c r="AQ138" s="196" t="str">
        <f t="shared" si="26"/>
        <v/>
      </c>
      <c r="AR138" s="168" t="str">
        <f>IFS(AND(B138&gt;=DATE(2025,1,1), B138&lt;=DATE(2025,1,31)), AQ138/DDashboard!$C$2, AND(B138&gt;=DATE(2025,2,1), B138&lt;=DATE(2025,2,28)), AQ138/DDashboard!$C$3, AND(B138&gt;=DATE(2025,3,1), B138&lt;=DATE(2025,3,31)), AQ138/DDashboard!$C$4, AND(B138&gt;=DATE(2025,4,1), B138&lt;=DATE(2025,4,30)), AQ138/DDashboard!$C$5,AND(B138&gt;=DATE(2025,5,1), B138&lt;=DATE(2025,5,31)), AQ138/DDashboard!$C$6,AND(B138&gt;=DATE(2025,6,1), B138&lt;=DATE(2025,6,30)), AQ138/DDashboard!$C$7,AND(B138&gt;=DATE(2025,7,1), B138&lt;=DATE(2025,7,31)), AQ138/DDashboard!$C$8,AND(B138&gt;=DATE(2025,8,1), B138&lt;=DATE(2025,8,31)), AQ138/DDashboard!$C$9,AND(B138&gt;=DATE(2025,9,1), B138&lt;=DATE(2025,9,30)), AQ138/DDashboard!$C$10,AND(B138&gt;=DATE(2025,10,1), B138&lt;=DATE(2025,10,31)), AQ138/DDashboard!$C$11,AND(B138&gt;=DATE(2025,11,1), B138&lt;=DATE(2025,11,30)), AQ138/DDashboard!$C$12, AND(B138&gt;=DATE(2025,12,1), B138&lt;=DATE(2025,12,31)), AQ138/DDashboard!$C$13, True, "")
</f>
        <v/>
      </c>
      <c r="AS138" s="200" t="str">
        <f t="array" ref="AS138">IF(ISBLANK(C138), "", SUM($AR$9:AR138)
)</f>
        <v/>
      </c>
      <c r="AT138" s="169" t="b">
        <v>0</v>
      </c>
      <c r="AU138" s="169"/>
      <c r="AV138" s="169"/>
      <c r="AW138" s="169"/>
      <c r="AX138" s="387"/>
    </row>
    <row r="139">
      <c r="A139" s="389">
        <v>138.0</v>
      </c>
      <c r="B139" s="138"/>
      <c r="C139" s="139"/>
      <c r="D139" s="403"/>
      <c r="E139" s="403"/>
      <c r="F139" s="142"/>
      <c r="G139" s="398" t="str">
        <f t="shared" si="1"/>
        <v/>
      </c>
      <c r="H139" s="144"/>
      <c r="I139" s="144"/>
      <c r="J139" s="141"/>
      <c r="K139" s="145" t="str">
        <f>IFERROR(__xludf.DUMMYFUNCTION("IF(ISBLANK(C139), """", GOOGLEFINANCE(""NSE:"" &amp; C139,""price""))"),"")</f>
        <v/>
      </c>
      <c r="L139" s="146"/>
      <c r="M139" s="147"/>
      <c r="N139" s="148"/>
      <c r="O139" s="225"/>
      <c r="P139" s="226"/>
      <c r="Q139" s="368"/>
      <c r="R139" s="152"/>
      <c r="S139" s="150"/>
      <c r="T139" s="377"/>
      <c r="U139" s="153" t="str">
        <f t="shared" si="23"/>
        <v/>
      </c>
      <c r="V139" s="154" t="str">
        <f>IFS(AND(B139&gt;=DATE(2025,1,1), B139&lt;=DATE(2025,1,31)), U139/DDashboard!$C$2, AND(B139&gt;=DATE(2025,2,1), B139&lt;=DATE(2025,2,28)), U139/DDashboard!$C$3, AND(B139&gt;=DATE(2025,3,1), B139&lt;=DATE(2025,3,31)), U139/DDashboard!$C$4, AND(B139&gt;=DATE(2025,4,1), B139&lt;=DATE(2025,4,30)), U139/DDashboard!$C$5,AND(B139&gt;=DATE(2025,5,1), B139&lt;=DATE(2025,5,31)), U139/DDashboard!$C$6,AND(B139&gt;=DATE(2025,6,1), B139&lt;=DATE(2025,6,30)), U139/DDashboard!$C$7,AND(B139&gt;=DATE(2025,7,1), B139&lt;=DATE(2025,7,31)), U139/DDashboard!$C$8,AND(B139&gt;=DATE(2025,8,1), B139&lt;=DATE(2025,8,31)), U139/DDashboard!$C$9,AND(B139&gt;=DATE(2025,9,1), B139&lt;=DATE(2025,9,30)), U139/DDashboard!$C$10,AND(B139&gt;=DATE(2025,10,1), B139&lt;=DATE(2025,10,31)), U139/DDashboard!$C$11,AND(B139&gt;=DATE(2025,11,1), B139&lt;=DATE(2025,11,30)), U139/DDashboard!$C$12, AND(B139&gt;=DATE(2025,12,1), B139&lt;=DATE(2025,12,31)), U139/DDashboard!$C$13, True, "")
</f>
        <v/>
      </c>
      <c r="W139" s="65" t="str">
        <f t="shared" si="3"/>
        <v/>
      </c>
      <c r="X139" s="155"/>
      <c r="Y139" s="156"/>
      <c r="Z139" s="392"/>
      <c r="AA139" s="155"/>
      <c r="AB139" s="156"/>
      <c r="AC139" s="375"/>
      <c r="AD139" s="159"/>
      <c r="AE139" s="156"/>
      <c r="AF139" s="375"/>
      <c r="AG139" s="160" t="str">
        <f t="shared" si="4"/>
        <v/>
      </c>
      <c r="AH139" s="393" t="str">
        <f t="shared" si="5"/>
        <v/>
      </c>
      <c r="AI139" s="161" t="str">
        <f t="shared" si="24"/>
        <v/>
      </c>
      <c r="AJ139" s="365" t="str">
        <f t="shared" si="7"/>
        <v/>
      </c>
      <c r="AK139" s="162" t="str">
        <f t="shared" si="25"/>
        <v/>
      </c>
      <c r="AL139" s="161" t="str">
        <f t="shared" si="22"/>
        <v/>
      </c>
      <c r="AM139" s="163" t="str">
        <f>IF(AN139="", "", IF(AN139="Closed", IF(ISNUMBER(AF139), AF139-B139,IF(ISNUMBER(AC139), AC139-B139,IF(ISNUMBER(Z139), Z139-B139, ""))), TODAY()-B139))
</f>
        <v/>
      </c>
      <c r="AN139" s="381" t="str">
        <f t="shared" si="11"/>
        <v/>
      </c>
      <c r="AO139" s="366" t="str">
        <f t="shared" si="12"/>
        <v/>
      </c>
      <c r="AP139" s="166" t="str">
        <f t="shared" si="13"/>
        <v/>
      </c>
      <c r="AQ139" s="167" t="str">
        <f t="shared" si="26"/>
        <v/>
      </c>
      <c r="AR139" s="168" t="str">
        <f>IFS(AND(B139&gt;=DATE(2025,1,1), B139&lt;=DATE(2025,1,31)), AQ139/DDashboard!$C$2, AND(B139&gt;=DATE(2025,2,1), B139&lt;=DATE(2025,2,28)), AQ139/DDashboard!$C$3, AND(B139&gt;=DATE(2025,3,1), B139&lt;=DATE(2025,3,31)), AQ139/DDashboard!$C$4, AND(B139&gt;=DATE(2025,4,1), B139&lt;=DATE(2025,4,30)), AQ139/DDashboard!$C$5,AND(B139&gt;=DATE(2025,5,1), B139&lt;=DATE(2025,5,31)), AQ139/DDashboard!$C$6,AND(B139&gt;=DATE(2025,6,1), B139&lt;=DATE(2025,6,30)), AQ139/DDashboard!$C$7,AND(B139&gt;=DATE(2025,7,1), B139&lt;=DATE(2025,7,31)), AQ139/DDashboard!$C$8,AND(B139&gt;=DATE(2025,8,1), B139&lt;=DATE(2025,8,31)), AQ139/DDashboard!$C$9,AND(B139&gt;=DATE(2025,9,1), B139&lt;=DATE(2025,9,30)), AQ139/DDashboard!$C$10,AND(B139&gt;=DATE(2025,10,1), B139&lt;=DATE(2025,10,31)), AQ139/DDashboard!$C$11,AND(B139&gt;=DATE(2025,11,1), B139&lt;=DATE(2025,11,30)), AQ139/DDashboard!$C$12, AND(B139&gt;=DATE(2025,12,1), B139&lt;=DATE(2025,12,31)), AQ139/DDashboard!$C$13, True, "")
</f>
        <v/>
      </c>
      <c r="AS139" s="200" t="str">
        <f t="array" ref="AS139">IF(ISBLANK(C139), "", SUM($AR$9:AR139)
)</f>
        <v/>
      </c>
      <c r="AT139" s="169" t="b">
        <v>0</v>
      </c>
      <c r="AU139" s="169"/>
      <c r="AV139" s="169"/>
      <c r="AW139" s="169"/>
      <c r="AX139" s="183"/>
    </row>
    <row r="140">
      <c r="A140" s="388">
        <v>139.0</v>
      </c>
      <c r="B140" s="184"/>
      <c r="C140" s="185"/>
      <c r="D140" s="404"/>
      <c r="E140" s="404"/>
      <c r="F140" s="188"/>
      <c r="G140" s="397" t="str">
        <f t="shared" si="1"/>
        <v/>
      </c>
      <c r="H140" s="190"/>
      <c r="I140" s="190"/>
      <c r="J140" s="187"/>
      <c r="K140" s="145" t="str">
        <f>IFERROR(__xludf.DUMMYFUNCTION("IF(ISBLANK(C140), """", GOOGLEFINANCE(""NSE:"" &amp; C140,""price""))"),"")</f>
        <v/>
      </c>
      <c r="L140" s="213"/>
      <c r="M140" s="193"/>
      <c r="N140" s="194"/>
      <c r="O140" s="205"/>
      <c r="P140" s="228"/>
      <c r="Q140" s="370"/>
      <c r="R140" s="198"/>
      <c r="S140" s="196"/>
      <c r="T140" s="376"/>
      <c r="U140" s="199" t="str">
        <f t="shared" si="23"/>
        <v/>
      </c>
      <c r="V140" s="200" t="str">
        <f>IFS(AND(B140&gt;=DATE(2025,1,1), B140&lt;=DATE(2025,1,31)), U140/DDashboard!$C$2, AND(B140&gt;=DATE(2025,2,1), B140&lt;=DATE(2025,2,28)), U140/DDashboard!$C$3, AND(B140&gt;=DATE(2025,3,1), B140&lt;=DATE(2025,3,31)), U140/DDashboard!$C$4, AND(B140&gt;=DATE(2025,4,1), B140&lt;=DATE(2025,4,30)), U140/DDashboard!$C$5,AND(B140&gt;=DATE(2025,5,1), B140&lt;=DATE(2025,5,31)), U140/DDashboard!$C$6,AND(B140&gt;=DATE(2025,6,1), B140&lt;=DATE(2025,6,30)), U140/DDashboard!$C$7,AND(B140&gt;=DATE(2025,7,1), B140&lt;=DATE(2025,7,31)), U140/DDashboard!$C$8,AND(B140&gt;=DATE(2025,8,1), B140&lt;=DATE(2025,8,31)), U140/DDashboard!$C$9,AND(B140&gt;=DATE(2025,9,1), B140&lt;=DATE(2025,9,30)), U140/DDashboard!$C$10,AND(B140&gt;=DATE(2025,10,1), B140&lt;=DATE(2025,10,31)), U140/DDashboard!$C$11,AND(B140&gt;=DATE(2025,11,1), B140&lt;=DATE(2025,11,30)), U140/DDashboard!$C$12, AND(B140&gt;=DATE(2025,12,1), B140&lt;=DATE(2025,12,31)), U140/DDashboard!$C$13, True, "")
</f>
        <v/>
      </c>
      <c r="W140" s="201" t="str">
        <f t="shared" si="3"/>
        <v/>
      </c>
      <c r="X140" s="202"/>
      <c r="Y140" s="203"/>
      <c r="Z140" s="391"/>
      <c r="AA140" s="202"/>
      <c r="AB140" s="203"/>
      <c r="AC140" s="372"/>
      <c r="AD140" s="205"/>
      <c r="AE140" s="203"/>
      <c r="AF140" s="372"/>
      <c r="AG140" s="206" t="str">
        <f t="shared" si="4"/>
        <v/>
      </c>
      <c r="AH140" s="385" t="str">
        <f t="shared" si="5"/>
        <v/>
      </c>
      <c r="AI140" s="207" t="str">
        <f t="shared" si="24"/>
        <v/>
      </c>
      <c r="AJ140" s="367" t="str">
        <f t="shared" si="7"/>
        <v/>
      </c>
      <c r="AK140" s="208" t="str">
        <f t="shared" si="25"/>
        <v/>
      </c>
      <c r="AL140" s="207" t="str">
        <f t="shared" si="22"/>
        <v/>
      </c>
      <c r="AM140" s="209" t="str">
        <f>IF(AN140="", "", IF(AN140="Closed", 
    IF(ISNUMBER(AF140), AF140-B140,
        IF(ISNUMBER(AC140), AC140-B140,
            IF(ISNUMBER(Z140), Z140-B140, "")
        )
    ), 
    TODAY()-B140))</f>
        <v/>
      </c>
      <c r="AN140" s="386" t="str">
        <f t="shared" si="11"/>
        <v/>
      </c>
      <c r="AO140" s="366" t="str">
        <f t="shared" si="12"/>
        <v/>
      </c>
      <c r="AP140" s="210" t="str">
        <f t="shared" si="13"/>
        <v/>
      </c>
      <c r="AQ140" s="196" t="str">
        <f t="shared" si="26"/>
        <v/>
      </c>
      <c r="AR140" s="168" t="str">
        <f>IFS(AND(B140&gt;=DATE(2025,1,1), B140&lt;=DATE(2025,1,31)), AQ140/DDashboard!$C$2, AND(B140&gt;=DATE(2025,2,1), B140&lt;=DATE(2025,2,28)), AQ140/DDashboard!$C$3, AND(B140&gt;=DATE(2025,3,1), B140&lt;=DATE(2025,3,31)), AQ140/DDashboard!$C$4, AND(B140&gt;=DATE(2025,4,1), B140&lt;=DATE(2025,4,30)), AQ140/DDashboard!$C$5,AND(B140&gt;=DATE(2025,5,1), B140&lt;=DATE(2025,5,31)), AQ140/DDashboard!$C$6,AND(B140&gt;=DATE(2025,6,1), B140&lt;=DATE(2025,6,30)), AQ140/DDashboard!$C$7,AND(B140&gt;=DATE(2025,7,1), B140&lt;=DATE(2025,7,31)), AQ140/DDashboard!$C$8,AND(B140&gt;=DATE(2025,8,1), B140&lt;=DATE(2025,8,31)), AQ140/DDashboard!$C$9,AND(B140&gt;=DATE(2025,9,1), B140&lt;=DATE(2025,9,30)), AQ140/DDashboard!$C$10,AND(B140&gt;=DATE(2025,10,1), B140&lt;=DATE(2025,10,31)), AQ140/DDashboard!$C$11,AND(B140&gt;=DATE(2025,11,1), B140&lt;=DATE(2025,11,30)), AQ140/DDashboard!$C$12, AND(B140&gt;=DATE(2025,12,1), B140&lt;=DATE(2025,12,31)), AQ140/DDashboard!$C$13, True, "")
</f>
        <v/>
      </c>
      <c r="AS140" s="200" t="str">
        <f t="array" ref="AS140">IF(ISBLANK(C140), "", SUM($AR$9:AR140)
)</f>
        <v/>
      </c>
      <c r="AT140" s="169" t="b">
        <v>0</v>
      </c>
      <c r="AU140" s="169"/>
      <c r="AV140" s="169"/>
      <c r="AW140" s="169"/>
      <c r="AX140" s="32"/>
    </row>
    <row r="141">
      <c r="A141" s="389">
        <v>140.0</v>
      </c>
      <c r="B141" s="138"/>
      <c r="C141" s="139"/>
      <c r="D141" s="403"/>
      <c r="E141" s="403"/>
      <c r="F141" s="142"/>
      <c r="G141" s="398" t="str">
        <f t="shared" si="1"/>
        <v/>
      </c>
      <c r="H141" s="144"/>
      <c r="I141" s="399"/>
      <c r="J141" s="141"/>
      <c r="K141" s="145" t="str">
        <f>IFERROR(__xludf.DUMMYFUNCTION("IF(ISBLANK(C141), """", GOOGLEFINANCE(""NSE:"" &amp; C141,""price""))"),"")</f>
        <v/>
      </c>
      <c r="L141" s="146"/>
      <c r="M141" s="147"/>
      <c r="N141" s="148"/>
      <c r="O141" s="225"/>
      <c r="P141" s="226"/>
      <c r="Q141" s="368"/>
      <c r="R141" s="152"/>
      <c r="S141" s="226"/>
      <c r="T141" s="377"/>
      <c r="U141" s="153" t="str">
        <f t="shared" si="23"/>
        <v/>
      </c>
      <c r="V141" s="154" t="str">
        <f>IFS(AND(B141&gt;=DATE(2025,1,1), B141&lt;=DATE(2025,1,31)), U141/DDashboard!$C$2, AND(B141&gt;=DATE(2025,2,1), B141&lt;=DATE(2025,2,28)), U141/DDashboard!$C$3, AND(B141&gt;=DATE(2025,3,1), B141&lt;=DATE(2025,3,31)), U141/DDashboard!$C$4, AND(B141&gt;=DATE(2025,4,1), B141&lt;=DATE(2025,4,30)), U141/DDashboard!$C$5,AND(B141&gt;=DATE(2025,5,1), B141&lt;=DATE(2025,5,31)), U141/DDashboard!$C$6,AND(B141&gt;=DATE(2025,6,1), B141&lt;=DATE(2025,6,30)), U141/DDashboard!$C$7,AND(B141&gt;=DATE(2025,7,1), B141&lt;=DATE(2025,7,31)), U141/DDashboard!$C$8,AND(B141&gt;=DATE(2025,8,1), B141&lt;=DATE(2025,8,31)), U141/DDashboard!$C$9,AND(B141&gt;=DATE(2025,9,1), B141&lt;=DATE(2025,9,30)), U141/DDashboard!$C$10,AND(B141&gt;=DATE(2025,10,1), B141&lt;=DATE(2025,10,31)), U141/DDashboard!$C$11,AND(B141&gt;=DATE(2025,11,1), B141&lt;=DATE(2025,11,30)), U141/DDashboard!$C$12, AND(B141&gt;=DATE(2025,12,1), B141&lt;=DATE(2025,12,31)), U141/DDashboard!$C$13, True, "")
</f>
        <v/>
      </c>
      <c r="W141" s="65" t="str">
        <f t="shared" si="3"/>
        <v/>
      </c>
      <c r="X141" s="155"/>
      <c r="Y141" s="156"/>
      <c r="Z141" s="392"/>
      <c r="AA141" s="155"/>
      <c r="AB141" s="156"/>
      <c r="AC141" s="375"/>
      <c r="AD141" s="358"/>
      <c r="AE141" s="359"/>
      <c r="AF141" s="360"/>
      <c r="AG141" s="160" t="str">
        <f t="shared" si="4"/>
        <v/>
      </c>
      <c r="AH141" s="393" t="str">
        <f t="shared" si="5"/>
        <v/>
      </c>
      <c r="AI141" s="161" t="str">
        <f t="shared" si="24"/>
        <v/>
      </c>
      <c r="AJ141" s="365" t="str">
        <f t="shared" si="7"/>
        <v/>
      </c>
      <c r="AK141" s="162" t="str">
        <f t="shared" si="25"/>
        <v/>
      </c>
      <c r="AL141" s="161" t="str">
        <f t="shared" si="22"/>
        <v/>
      </c>
      <c r="AM141" s="163" t="str">
        <f>IF(AN141="", "", IF(AN141="Closed", IF(ISNUMBER(AF141), AF141-B141,IF(ISNUMBER(AC141), AC141-B141,IF(ISNUMBER(Z141), Z141-B141, ""))), TODAY()-B141))
</f>
        <v/>
      </c>
      <c r="AN141" s="381" t="str">
        <f t="shared" si="11"/>
        <v/>
      </c>
      <c r="AO141" s="366" t="str">
        <f t="shared" si="12"/>
        <v/>
      </c>
      <c r="AP141" s="166" t="str">
        <f t="shared" si="13"/>
        <v/>
      </c>
      <c r="AQ141" s="167" t="str">
        <f t="shared" si="26"/>
        <v/>
      </c>
      <c r="AR141" s="168" t="str">
        <f>IFS(AND(B141&gt;=DATE(2025,1,1), B141&lt;=DATE(2025,1,31)), AQ141/DDashboard!$C$2, AND(B141&gt;=DATE(2025,2,1), B141&lt;=DATE(2025,2,28)), AQ141/DDashboard!$C$3, AND(B141&gt;=DATE(2025,3,1), B141&lt;=DATE(2025,3,31)), AQ141/DDashboard!$C$4, AND(B141&gt;=DATE(2025,4,1), B141&lt;=DATE(2025,4,30)), AQ141/DDashboard!$C$5,AND(B141&gt;=DATE(2025,5,1), B141&lt;=DATE(2025,5,31)), AQ141/DDashboard!$C$6,AND(B141&gt;=DATE(2025,6,1), B141&lt;=DATE(2025,6,30)), AQ141/DDashboard!$C$7,AND(B141&gt;=DATE(2025,7,1), B141&lt;=DATE(2025,7,31)), AQ141/DDashboard!$C$8,AND(B141&gt;=DATE(2025,8,1), B141&lt;=DATE(2025,8,31)), AQ141/DDashboard!$C$9,AND(B141&gt;=DATE(2025,9,1), B141&lt;=DATE(2025,9,30)), AQ141/DDashboard!$C$10,AND(B141&gt;=DATE(2025,10,1), B141&lt;=DATE(2025,10,31)), AQ141/DDashboard!$C$11,AND(B141&gt;=DATE(2025,11,1), B141&lt;=DATE(2025,11,30)), AQ141/DDashboard!$C$12, AND(B141&gt;=DATE(2025,12,1), B141&lt;=DATE(2025,12,31)), AQ141/DDashboard!$C$13, True, "")
</f>
        <v/>
      </c>
      <c r="AS141" s="200" t="str">
        <f t="array" ref="AS141">IF(ISBLANK(C141), "", SUM($AR$9:AR141)
)</f>
        <v/>
      </c>
      <c r="AT141" s="169" t="b">
        <v>0</v>
      </c>
      <c r="AU141" s="169"/>
      <c r="AV141" s="169"/>
      <c r="AW141" s="169"/>
      <c r="AX141" s="383"/>
    </row>
    <row r="142">
      <c r="A142" s="388">
        <v>141.0</v>
      </c>
      <c r="B142" s="184"/>
      <c r="C142" s="185"/>
      <c r="D142" s="404"/>
      <c r="E142" s="404"/>
      <c r="F142" s="188"/>
      <c r="G142" s="397" t="str">
        <f t="shared" si="1"/>
        <v/>
      </c>
      <c r="H142" s="190"/>
      <c r="I142" s="190"/>
      <c r="J142" s="187"/>
      <c r="K142" s="145" t="str">
        <f>IFERROR(__xludf.DUMMYFUNCTION("IF(ISBLANK(C142), """", GOOGLEFINANCE(""NSE:"" &amp; C142,""price""))"),"")</f>
        <v/>
      </c>
      <c r="L142" s="213"/>
      <c r="M142" s="193"/>
      <c r="N142" s="194"/>
      <c r="O142" s="205"/>
      <c r="P142" s="228"/>
      <c r="Q142" s="370"/>
      <c r="R142" s="198"/>
      <c r="S142" s="196"/>
      <c r="T142" s="376"/>
      <c r="U142" s="199" t="str">
        <f t="shared" si="23"/>
        <v/>
      </c>
      <c r="V142" s="200" t="str">
        <f>IFS(AND(B142&gt;=DATE(2025,1,1), B142&lt;=DATE(2025,1,31)), U142/DDashboard!$C$2, AND(B142&gt;=DATE(2025,2,1), B142&lt;=DATE(2025,2,28)), U142/DDashboard!$C$3, AND(B142&gt;=DATE(2025,3,1), B142&lt;=DATE(2025,3,31)), U142/DDashboard!$C$4, AND(B142&gt;=DATE(2025,4,1), B142&lt;=DATE(2025,4,30)), U142/DDashboard!$C$5,AND(B142&gt;=DATE(2025,5,1), B142&lt;=DATE(2025,5,31)), U142/DDashboard!$C$6,AND(B142&gt;=DATE(2025,6,1), B142&lt;=DATE(2025,6,30)), U142/DDashboard!$C$7,AND(B142&gt;=DATE(2025,7,1), B142&lt;=DATE(2025,7,31)), U142/DDashboard!$C$8,AND(B142&gt;=DATE(2025,8,1), B142&lt;=DATE(2025,8,31)), U142/DDashboard!$C$9,AND(B142&gt;=DATE(2025,9,1), B142&lt;=DATE(2025,9,30)), U142/DDashboard!$C$10,AND(B142&gt;=DATE(2025,10,1), B142&lt;=DATE(2025,10,31)), U142/DDashboard!$C$11,AND(B142&gt;=DATE(2025,11,1), B142&lt;=DATE(2025,11,30)), U142/DDashboard!$C$12, AND(B142&gt;=DATE(2025,12,1), B142&lt;=DATE(2025,12,31)), U142/DDashboard!$C$13, True, "")
</f>
        <v/>
      </c>
      <c r="W142" s="201" t="str">
        <f t="shared" si="3"/>
        <v/>
      </c>
      <c r="X142" s="202"/>
      <c r="Y142" s="203"/>
      <c r="Z142" s="391"/>
      <c r="AA142" s="202"/>
      <c r="AB142" s="203"/>
      <c r="AC142" s="372"/>
      <c r="AD142" s="195"/>
      <c r="AE142" s="222"/>
      <c r="AF142" s="223"/>
      <c r="AG142" s="206" t="str">
        <f t="shared" si="4"/>
        <v/>
      </c>
      <c r="AH142" s="385" t="str">
        <f t="shared" si="5"/>
        <v/>
      </c>
      <c r="AI142" s="207" t="str">
        <f t="shared" si="24"/>
        <v/>
      </c>
      <c r="AJ142" s="367" t="str">
        <f t="shared" si="7"/>
        <v/>
      </c>
      <c r="AK142" s="208" t="str">
        <f t="shared" si="25"/>
        <v/>
      </c>
      <c r="AL142" s="207" t="str">
        <f t="shared" si="22"/>
        <v/>
      </c>
      <c r="AM142" s="209" t="str">
        <f>IF(AN142="", "", IF(AN142="Closed", 
    IF(ISNUMBER(AF142), AF142-B142,
        IF(ISNUMBER(AC142), AC142-B142,
            IF(ISNUMBER(Z142), Z142-B142, "")
        )
    ), 
    TODAY()-B142))</f>
        <v/>
      </c>
      <c r="AN142" s="386" t="str">
        <f t="shared" si="11"/>
        <v/>
      </c>
      <c r="AO142" s="366" t="str">
        <f t="shared" si="12"/>
        <v/>
      </c>
      <c r="AP142" s="210" t="str">
        <f t="shared" si="13"/>
        <v/>
      </c>
      <c r="AQ142" s="196" t="str">
        <f t="shared" si="26"/>
        <v/>
      </c>
      <c r="AR142" s="168" t="str">
        <f>IFS(AND(B142&gt;=DATE(2025,1,1), B142&lt;=DATE(2025,1,31)), AQ142/DDashboard!$C$2, AND(B142&gt;=DATE(2025,2,1), B142&lt;=DATE(2025,2,28)), AQ142/DDashboard!$C$3, AND(B142&gt;=DATE(2025,3,1), B142&lt;=DATE(2025,3,31)), AQ142/DDashboard!$C$4, AND(B142&gt;=DATE(2025,4,1), B142&lt;=DATE(2025,4,30)), AQ142/DDashboard!$C$5,AND(B142&gt;=DATE(2025,5,1), B142&lt;=DATE(2025,5,31)), AQ142/DDashboard!$C$6,AND(B142&gt;=DATE(2025,6,1), B142&lt;=DATE(2025,6,30)), AQ142/DDashboard!$C$7,AND(B142&gt;=DATE(2025,7,1), B142&lt;=DATE(2025,7,31)), AQ142/DDashboard!$C$8,AND(B142&gt;=DATE(2025,8,1), B142&lt;=DATE(2025,8,31)), AQ142/DDashboard!$C$9,AND(B142&gt;=DATE(2025,9,1), B142&lt;=DATE(2025,9,30)), AQ142/DDashboard!$C$10,AND(B142&gt;=DATE(2025,10,1), B142&lt;=DATE(2025,10,31)), AQ142/DDashboard!$C$11,AND(B142&gt;=DATE(2025,11,1), B142&lt;=DATE(2025,11,30)), AQ142/DDashboard!$C$12, AND(B142&gt;=DATE(2025,12,1), B142&lt;=DATE(2025,12,31)), AQ142/DDashboard!$C$13, True, "")
</f>
        <v/>
      </c>
      <c r="AS142" s="200" t="str">
        <f t="array" ref="AS142">IF(ISBLANK(C142), "", SUM($AR$9:AR142)
)</f>
        <v/>
      </c>
      <c r="AT142" s="169" t="b">
        <v>0</v>
      </c>
      <c r="AU142" s="169"/>
      <c r="AV142" s="169"/>
      <c r="AW142" s="169"/>
      <c r="AX142" s="32"/>
    </row>
    <row r="143">
      <c r="A143" s="389">
        <v>142.0</v>
      </c>
      <c r="B143" s="138"/>
      <c r="C143" s="139"/>
      <c r="D143" s="401"/>
      <c r="E143" s="403"/>
      <c r="F143" s="142"/>
      <c r="G143" s="398" t="str">
        <f t="shared" si="1"/>
        <v/>
      </c>
      <c r="H143" s="144"/>
      <c r="I143" s="399"/>
      <c r="J143" s="141"/>
      <c r="K143" s="145" t="str">
        <f>IFERROR(__xludf.DUMMYFUNCTION("IF(ISBLANK(C143), """", GOOGLEFINANCE(""NSE:"" &amp; C143,""price""))"),"")</f>
        <v/>
      </c>
      <c r="L143" s="146"/>
      <c r="M143" s="147"/>
      <c r="N143" s="148"/>
      <c r="O143" s="149"/>
      <c r="P143" s="150"/>
      <c r="Q143" s="377"/>
      <c r="R143" s="152"/>
      <c r="S143" s="150"/>
      <c r="T143" s="377"/>
      <c r="U143" s="153" t="str">
        <f t="shared" si="23"/>
        <v/>
      </c>
      <c r="V143" s="154" t="str">
        <f>IFS(AND(B143&gt;=DATE(2025,1,1), B143&lt;=DATE(2025,1,31)), U143/DDashboard!$C$2, AND(B143&gt;=DATE(2025,2,1), B143&lt;=DATE(2025,2,28)), U143/DDashboard!$C$3, AND(B143&gt;=DATE(2025,3,1), B143&lt;=DATE(2025,3,31)), U143/DDashboard!$C$4, AND(B143&gt;=DATE(2025,4,1), B143&lt;=DATE(2025,4,30)), U143/DDashboard!$C$5,AND(B143&gt;=DATE(2025,5,1), B143&lt;=DATE(2025,5,31)), U143/DDashboard!$C$6,AND(B143&gt;=DATE(2025,6,1), B143&lt;=DATE(2025,6,30)), U143/DDashboard!$C$7,AND(B143&gt;=DATE(2025,7,1), B143&lt;=DATE(2025,7,31)), U143/DDashboard!$C$8,AND(B143&gt;=DATE(2025,8,1), B143&lt;=DATE(2025,8,31)), U143/DDashboard!$C$9,AND(B143&gt;=DATE(2025,9,1), B143&lt;=DATE(2025,9,30)), U143/DDashboard!$C$10,AND(B143&gt;=DATE(2025,10,1), B143&lt;=DATE(2025,10,31)), U143/DDashboard!$C$11,AND(B143&gt;=DATE(2025,11,1), B143&lt;=DATE(2025,11,30)), U143/DDashboard!$C$12, AND(B143&gt;=DATE(2025,12,1), B143&lt;=DATE(2025,12,31)), U143/DDashboard!$C$13, True, "")
</f>
        <v/>
      </c>
      <c r="W143" s="65" t="str">
        <f t="shared" si="3"/>
        <v/>
      </c>
      <c r="X143" s="155"/>
      <c r="Y143" s="156"/>
      <c r="Z143" s="392"/>
      <c r="AA143" s="390"/>
      <c r="AB143" s="359"/>
      <c r="AC143" s="360"/>
      <c r="AD143" s="358"/>
      <c r="AE143" s="359"/>
      <c r="AF143" s="360"/>
      <c r="AG143" s="160" t="str">
        <f t="shared" si="4"/>
        <v/>
      </c>
      <c r="AH143" s="393" t="str">
        <f t="shared" si="5"/>
        <v/>
      </c>
      <c r="AI143" s="161" t="str">
        <f t="shared" si="24"/>
        <v/>
      </c>
      <c r="AJ143" s="365" t="str">
        <f t="shared" si="7"/>
        <v/>
      </c>
      <c r="AK143" s="162" t="str">
        <f t="shared" si="25"/>
        <v/>
      </c>
      <c r="AL143" s="161" t="str">
        <f t="shared" si="22"/>
        <v/>
      </c>
      <c r="AM143" s="163" t="str">
        <f>IF(AN143="", "", IF(AN143="Closed", IF(ISNUMBER(AF143), AF143-B143,IF(ISNUMBER(AC143), AC143-B143,IF(ISNUMBER(Z143), Z143-B143, ""))), TODAY()-B143))
</f>
        <v/>
      </c>
      <c r="AN143" s="381" t="str">
        <f t="shared" si="11"/>
        <v/>
      </c>
      <c r="AO143" s="366" t="str">
        <f t="shared" si="12"/>
        <v/>
      </c>
      <c r="AP143" s="166" t="str">
        <f t="shared" si="13"/>
        <v/>
      </c>
      <c r="AQ143" s="167" t="str">
        <f t="shared" si="26"/>
        <v/>
      </c>
      <c r="AR143" s="168" t="str">
        <f>IFS(AND(B143&gt;=DATE(2025,1,1), B143&lt;=DATE(2025,1,31)), AQ143/DDashboard!$C$2, AND(B143&gt;=DATE(2025,2,1), B143&lt;=DATE(2025,2,28)), AQ143/DDashboard!$C$3, AND(B143&gt;=DATE(2025,3,1), B143&lt;=DATE(2025,3,31)), AQ143/DDashboard!$C$4, AND(B143&gt;=DATE(2025,4,1), B143&lt;=DATE(2025,4,30)), AQ143/DDashboard!$C$5,AND(B143&gt;=DATE(2025,5,1), B143&lt;=DATE(2025,5,31)), AQ143/DDashboard!$C$6,AND(B143&gt;=DATE(2025,6,1), B143&lt;=DATE(2025,6,30)), AQ143/DDashboard!$C$7,AND(B143&gt;=DATE(2025,7,1), B143&lt;=DATE(2025,7,31)), AQ143/DDashboard!$C$8,AND(B143&gt;=DATE(2025,8,1), B143&lt;=DATE(2025,8,31)), AQ143/DDashboard!$C$9,AND(B143&gt;=DATE(2025,9,1), B143&lt;=DATE(2025,9,30)), AQ143/DDashboard!$C$10,AND(B143&gt;=DATE(2025,10,1), B143&lt;=DATE(2025,10,31)), AQ143/DDashboard!$C$11,AND(B143&gt;=DATE(2025,11,1), B143&lt;=DATE(2025,11,30)), AQ143/DDashboard!$C$12, AND(B143&gt;=DATE(2025,12,1), B143&lt;=DATE(2025,12,31)), AQ143/DDashboard!$C$13, True, "")
</f>
        <v/>
      </c>
      <c r="AS143" s="200" t="str">
        <f t="array" ref="AS143">IF(ISBLANK(C143), "", SUM($AR$9:AR143)
)</f>
        <v/>
      </c>
      <c r="AT143" s="169" t="b">
        <v>0</v>
      </c>
      <c r="AU143" s="169"/>
      <c r="AV143" s="169"/>
      <c r="AW143" s="169"/>
      <c r="AX143" s="183"/>
    </row>
    <row r="144">
      <c r="A144" s="388">
        <v>143.0</v>
      </c>
      <c r="B144" s="184"/>
      <c r="C144" s="185"/>
      <c r="D144" s="400"/>
      <c r="E144" s="404"/>
      <c r="F144" s="188"/>
      <c r="G144" s="397" t="str">
        <f t="shared" si="1"/>
        <v/>
      </c>
      <c r="H144" s="190"/>
      <c r="I144" s="190"/>
      <c r="J144" s="187"/>
      <c r="K144" s="145" t="str">
        <f>IFERROR(__xludf.DUMMYFUNCTION("IF(ISBLANK(C144), """", GOOGLEFINANCE(""NSE:"" &amp; C144,""price""))"),"")</f>
        <v/>
      </c>
      <c r="L144" s="213"/>
      <c r="M144" s="193"/>
      <c r="N144" s="194"/>
      <c r="O144" s="205"/>
      <c r="P144" s="228"/>
      <c r="Q144" s="370"/>
      <c r="R144" s="202"/>
      <c r="S144" s="228"/>
      <c r="T144" s="370"/>
      <c r="U144" s="199" t="str">
        <f t="shared" si="23"/>
        <v/>
      </c>
      <c r="V144" s="200" t="str">
        <f>IFS(AND(B144&gt;=DATE(2025,1,1), B144&lt;=DATE(2025,1,31)), U144/DDashboard!$C$2, AND(B144&gt;=DATE(2025,2,1), B144&lt;=DATE(2025,2,28)), U144/DDashboard!$C$3, AND(B144&gt;=DATE(2025,3,1), B144&lt;=DATE(2025,3,31)), U144/DDashboard!$C$4, AND(B144&gt;=DATE(2025,4,1), B144&lt;=DATE(2025,4,30)), U144/DDashboard!$C$5,AND(B144&gt;=DATE(2025,5,1), B144&lt;=DATE(2025,5,31)), U144/DDashboard!$C$6,AND(B144&gt;=DATE(2025,6,1), B144&lt;=DATE(2025,6,30)), U144/DDashboard!$C$7,AND(B144&gt;=DATE(2025,7,1), B144&lt;=DATE(2025,7,31)), U144/DDashboard!$C$8,AND(B144&gt;=DATE(2025,8,1), B144&lt;=DATE(2025,8,31)), U144/DDashboard!$C$9,AND(B144&gt;=DATE(2025,9,1), B144&lt;=DATE(2025,9,30)), U144/DDashboard!$C$10,AND(B144&gt;=DATE(2025,10,1), B144&lt;=DATE(2025,10,31)), U144/DDashboard!$C$11,AND(B144&gt;=DATE(2025,11,1), B144&lt;=DATE(2025,11,30)), U144/DDashboard!$C$12, AND(B144&gt;=DATE(2025,12,1), B144&lt;=DATE(2025,12,31)), U144/DDashboard!$C$13, True, "")
</f>
        <v/>
      </c>
      <c r="W144" s="201" t="str">
        <f t="shared" si="3"/>
        <v/>
      </c>
      <c r="X144" s="202"/>
      <c r="Y144" s="203"/>
      <c r="Z144" s="391"/>
      <c r="AA144" s="202"/>
      <c r="AB144" s="203"/>
      <c r="AC144" s="372"/>
      <c r="AD144" s="205"/>
      <c r="AE144" s="203"/>
      <c r="AF144" s="372"/>
      <c r="AG144" s="206" t="str">
        <f t="shared" si="4"/>
        <v/>
      </c>
      <c r="AH144" s="385" t="str">
        <f t="shared" si="5"/>
        <v/>
      </c>
      <c r="AI144" s="207" t="str">
        <f t="shared" si="24"/>
        <v/>
      </c>
      <c r="AJ144" s="367" t="str">
        <f t="shared" si="7"/>
        <v/>
      </c>
      <c r="AK144" s="208" t="str">
        <f t="shared" si="25"/>
        <v/>
      </c>
      <c r="AL144" s="207" t="str">
        <f t="shared" si="22"/>
        <v/>
      </c>
      <c r="AM144" s="209" t="str">
        <f>IF(AN144="", "", IF(AN144="Closed", 
    IF(ISNUMBER(AF144), AF144-B144,
        IF(ISNUMBER(AC144), AC144-B144,
            IF(ISNUMBER(Z144), Z144-B144, "")
        )
    ), 
    TODAY()-B144))</f>
        <v/>
      </c>
      <c r="AN144" s="386" t="str">
        <f t="shared" si="11"/>
        <v/>
      </c>
      <c r="AO144" s="366" t="str">
        <f t="shared" si="12"/>
        <v/>
      </c>
      <c r="AP144" s="210" t="str">
        <f t="shared" si="13"/>
        <v/>
      </c>
      <c r="AQ144" s="196" t="str">
        <f t="shared" si="26"/>
        <v/>
      </c>
      <c r="AR144" s="168" t="str">
        <f>IFS(AND(B144&gt;=DATE(2025,1,1), B144&lt;=DATE(2025,1,31)), AQ144/DDashboard!$C$2, AND(B144&gt;=DATE(2025,2,1), B144&lt;=DATE(2025,2,28)), AQ144/DDashboard!$C$3, AND(B144&gt;=DATE(2025,3,1), B144&lt;=DATE(2025,3,31)), AQ144/DDashboard!$C$4, AND(B144&gt;=DATE(2025,4,1), B144&lt;=DATE(2025,4,30)), AQ144/DDashboard!$C$5,AND(B144&gt;=DATE(2025,5,1), B144&lt;=DATE(2025,5,31)), AQ144/DDashboard!$C$6,AND(B144&gt;=DATE(2025,6,1), B144&lt;=DATE(2025,6,30)), AQ144/DDashboard!$C$7,AND(B144&gt;=DATE(2025,7,1), B144&lt;=DATE(2025,7,31)), AQ144/DDashboard!$C$8,AND(B144&gt;=DATE(2025,8,1), B144&lt;=DATE(2025,8,31)), AQ144/DDashboard!$C$9,AND(B144&gt;=DATE(2025,9,1), B144&lt;=DATE(2025,9,30)), AQ144/DDashboard!$C$10,AND(B144&gt;=DATE(2025,10,1), B144&lt;=DATE(2025,10,31)), AQ144/DDashboard!$C$11,AND(B144&gt;=DATE(2025,11,1), B144&lt;=DATE(2025,11,30)), AQ144/DDashboard!$C$12, AND(B144&gt;=DATE(2025,12,1), B144&lt;=DATE(2025,12,31)), AQ144/DDashboard!$C$13, True, "")
</f>
        <v/>
      </c>
      <c r="AS144" s="200" t="str">
        <f t="array" ref="AS144">IF(ISBLANK(C144), "", SUM($AR$9:AR144)
)</f>
        <v/>
      </c>
      <c r="AT144" s="169" t="b">
        <v>0</v>
      </c>
      <c r="AU144" s="169"/>
      <c r="AV144" s="169"/>
      <c r="AW144" s="169"/>
      <c r="AX144" s="32"/>
    </row>
    <row r="145">
      <c r="A145" s="389">
        <v>144.0</v>
      </c>
      <c r="B145" s="138"/>
      <c r="C145" s="139"/>
      <c r="D145" s="401"/>
      <c r="E145" s="141"/>
      <c r="F145" s="142"/>
      <c r="G145" s="398" t="str">
        <f t="shared" si="1"/>
        <v/>
      </c>
      <c r="H145" s="399"/>
      <c r="I145" s="399"/>
      <c r="J145" s="141"/>
      <c r="K145" s="145" t="str">
        <f>IFERROR(__xludf.DUMMYFUNCTION("IF(ISBLANK(C145), """", GOOGLEFINANCE(""NSE:"" &amp; C145,""price""))"),"")</f>
        <v/>
      </c>
      <c r="L145" s="146"/>
      <c r="M145" s="147"/>
      <c r="N145" s="148"/>
      <c r="O145" s="149"/>
      <c r="P145" s="150"/>
      <c r="Q145" s="377"/>
      <c r="R145" s="152"/>
      <c r="S145" s="150"/>
      <c r="T145" s="377"/>
      <c r="U145" s="153" t="str">
        <f t="shared" si="23"/>
        <v/>
      </c>
      <c r="V145" s="154" t="str">
        <f>IFS(AND(B145&gt;=DATE(2025,1,1), B145&lt;=DATE(2025,1,31)), U145/DDashboard!$C$2, AND(B145&gt;=DATE(2025,2,1), B145&lt;=DATE(2025,2,28)), U145/DDashboard!$C$3, AND(B145&gt;=DATE(2025,3,1), B145&lt;=DATE(2025,3,31)), U145/DDashboard!$C$4, AND(B145&gt;=DATE(2025,4,1), B145&lt;=DATE(2025,4,30)), U145/DDashboard!$C$5,AND(B145&gt;=DATE(2025,5,1), B145&lt;=DATE(2025,5,31)), U145/DDashboard!$C$6,AND(B145&gt;=DATE(2025,6,1), B145&lt;=DATE(2025,6,30)), U145/DDashboard!$C$7,AND(B145&gt;=DATE(2025,7,1), B145&lt;=DATE(2025,7,31)), U145/DDashboard!$C$8,AND(B145&gt;=DATE(2025,8,1), B145&lt;=DATE(2025,8,31)), U145/DDashboard!$C$9,AND(B145&gt;=DATE(2025,9,1), B145&lt;=DATE(2025,9,30)), U145/DDashboard!$C$10,AND(B145&gt;=DATE(2025,10,1), B145&lt;=DATE(2025,10,31)), U145/DDashboard!$C$11,AND(B145&gt;=DATE(2025,11,1), B145&lt;=DATE(2025,11,30)), U145/DDashboard!$C$12, AND(B145&gt;=DATE(2025,12,1), B145&lt;=DATE(2025,12,31)), U145/DDashboard!$C$13, True, "")
</f>
        <v/>
      </c>
      <c r="W145" s="65" t="str">
        <f t="shared" si="3"/>
        <v/>
      </c>
      <c r="X145" s="155"/>
      <c r="Y145" s="156"/>
      <c r="Z145" s="392"/>
      <c r="AA145" s="390"/>
      <c r="AB145" s="359"/>
      <c r="AC145" s="360"/>
      <c r="AD145" s="358"/>
      <c r="AE145" s="359"/>
      <c r="AF145" s="360"/>
      <c r="AG145" s="160" t="str">
        <f t="shared" si="4"/>
        <v/>
      </c>
      <c r="AH145" s="393" t="str">
        <f t="shared" si="5"/>
        <v/>
      </c>
      <c r="AI145" s="161" t="str">
        <f t="shared" si="24"/>
        <v/>
      </c>
      <c r="AJ145" s="365" t="str">
        <f t="shared" si="7"/>
        <v/>
      </c>
      <c r="AK145" s="162" t="str">
        <f t="shared" si="25"/>
        <v/>
      </c>
      <c r="AL145" s="161" t="str">
        <f t="shared" si="22"/>
        <v/>
      </c>
      <c r="AM145" s="163" t="str">
        <f>IF(AN145="", "", IF(AN145="Closed", IF(ISNUMBER(AF145), AF145-B145,IF(ISNUMBER(AC145), AC145-B145,IF(ISNUMBER(Z145), Z145-B145, ""))), TODAY()-B145))
</f>
        <v/>
      </c>
      <c r="AN145" s="381" t="str">
        <f t="shared" si="11"/>
        <v/>
      </c>
      <c r="AO145" s="366" t="str">
        <f t="shared" si="12"/>
        <v/>
      </c>
      <c r="AP145" s="166" t="str">
        <f t="shared" si="13"/>
        <v/>
      </c>
      <c r="AQ145" s="167" t="str">
        <f t="shared" si="26"/>
        <v/>
      </c>
      <c r="AR145" s="168" t="str">
        <f>IFS(AND(B145&gt;=DATE(2025,1,1), B145&lt;=DATE(2025,1,31)), AQ145/DDashboard!$C$2, AND(B145&gt;=DATE(2025,2,1), B145&lt;=DATE(2025,2,28)), AQ145/DDashboard!$C$3, AND(B145&gt;=DATE(2025,3,1), B145&lt;=DATE(2025,3,31)), AQ145/DDashboard!$C$4, AND(B145&gt;=DATE(2025,4,1), B145&lt;=DATE(2025,4,30)), AQ145/DDashboard!$C$5,AND(B145&gt;=DATE(2025,5,1), B145&lt;=DATE(2025,5,31)), AQ145/DDashboard!$C$6,AND(B145&gt;=DATE(2025,6,1), B145&lt;=DATE(2025,6,30)), AQ145/DDashboard!$C$7,AND(B145&gt;=DATE(2025,7,1), B145&lt;=DATE(2025,7,31)), AQ145/DDashboard!$C$8,AND(B145&gt;=DATE(2025,8,1), B145&lt;=DATE(2025,8,31)), AQ145/DDashboard!$C$9,AND(B145&gt;=DATE(2025,9,1), B145&lt;=DATE(2025,9,30)), AQ145/DDashboard!$C$10,AND(B145&gt;=DATE(2025,10,1), B145&lt;=DATE(2025,10,31)), AQ145/DDashboard!$C$11,AND(B145&gt;=DATE(2025,11,1), B145&lt;=DATE(2025,11,30)), AQ145/DDashboard!$C$12, AND(B145&gt;=DATE(2025,12,1), B145&lt;=DATE(2025,12,31)), AQ145/DDashboard!$C$13, True, "")
</f>
        <v/>
      </c>
      <c r="AS145" s="200" t="str">
        <f t="array" ref="AS145">IF(ISBLANK(C145), "", SUM($AR$9:AR145)
)</f>
        <v/>
      </c>
      <c r="AT145" s="169" t="b">
        <v>0</v>
      </c>
      <c r="AU145" s="169"/>
      <c r="AV145" s="169"/>
      <c r="AW145" s="169"/>
      <c r="AX145" s="183"/>
    </row>
    <row r="146">
      <c r="A146" s="388">
        <v>145.0</v>
      </c>
      <c r="B146" s="184"/>
      <c r="C146" s="185"/>
      <c r="D146" s="400"/>
      <c r="E146" s="187"/>
      <c r="F146" s="188"/>
      <c r="G146" s="397" t="str">
        <f t="shared" si="1"/>
        <v/>
      </c>
      <c r="H146" s="402"/>
      <c r="I146" s="402"/>
      <c r="J146" s="187"/>
      <c r="K146" s="145" t="str">
        <f>IFERROR(__xludf.DUMMYFUNCTION("IF(ISBLANK(C146), """", GOOGLEFINANCE(""NSE:"" &amp; C146,""price""))"),"")</f>
        <v/>
      </c>
      <c r="L146" s="213"/>
      <c r="M146" s="193"/>
      <c r="N146" s="194"/>
      <c r="O146" s="195"/>
      <c r="P146" s="196"/>
      <c r="Q146" s="376"/>
      <c r="R146" s="198"/>
      <c r="S146" s="196"/>
      <c r="T146" s="376"/>
      <c r="U146" s="199" t="str">
        <f t="shared" si="23"/>
        <v/>
      </c>
      <c r="V146" s="200" t="str">
        <f>IFS(AND(B146&gt;=DATE(2025,1,1), B146&lt;=DATE(2025,1,31)), U146/DDashboard!$C$2, AND(B146&gt;=DATE(2025,2,1), B146&lt;=DATE(2025,2,28)), U146/DDashboard!$C$3, AND(B146&gt;=DATE(2025,3,1), B146&lt;=DATE(2025,3,31)), U146/DDashboard!$C$4, AND(B146&gt;=DATE(2025,4,1), B146&lt;=DATE(2025,4,30)), U146/DDashboard!$C$5,AND(B146&gt;=DATE(2025,5,1), B146&lt;=DATE(2025,5,31)), U146/DDashboard!$C$6,AND(B146&gt;=DATE(2025,6,1), B146&lt;=DATE(2025,6,30)), U146/DDashboard!$C$7,AND(B146&gt;=DATE(2025,7,1), B146&lt;=DATE(2025,7,31)), U146/DDashboard!$C$8,AND(B146&gt;=DATE(2025,8,1), B146&lt;=DATE(2025,8,31)), U146/DDashboard!$C$9,AND(B146&gt;=DATE(2025,9,1), B146&lt;=DATE(2025,9,30)), U146/DDashboard!$C$10,AND(B146&gt;=DATE(2025,10,1), B146&lt;=DATE(2025,10,31)), U146/DDashboard!$C$11,AND(B146&gt;=DATE(2025,11,1), B146&lt;=DATE(2025,11,30)), U146/DDashboard!$C$12, AND(B146&gt;=DATE(2025,12,1), B146&lt;=DATE(2025,12,31)), U146/DDashboard!$C$13, True, "")
</f>
        <v/>
      </c>
      <c r="W146" s="201" t="str">
        <f t="shared" si="3"/>
        <v/>
      </c>
      <c r="X146" s="202"/>
      <c r="Y146" s="203"/>
      <c r="Z146" s="391"/>
      <c r="AA146" s="198"/>
      <c r="AB146" s="222"/>
      <c r="AC146" s="223"/>
      <c r="AD146" s="195"/>
      <c r="AE146" s="222"/>
      <c r="AF146" s="223"/>
      <c r="AG146" s="206" t="str">
        <f t="shared" si="4"/>
        <v/>
      </c>
      <c r="AH146" s="385" t="str">
        <f t="shared" si="5"/>
        <v/>
      </c>
      <c r="AI146" s="207" t="str">
        <f t="shared" si="24"/>
        <v/>
      </c>
      <c r="AJ146" s="367" t="str">
        <f t="shared" si="7"/>
        <v/>
      </c>
      <c r="AK146" s="208" t="str">
        <f t="shared" si="25"/>
        <v/>
      </c>
      <c r="AL146" s="207" t="str">
        <f t="shared" si="22"/>
        <v/>
      </c>
      <c r="AM146" s="209" t="str">
        <f>IF(AN146="", "", IF(AN146="Closed", 
    IF(ISNUMBER(AF146), AF146-B146,
        IF(ISNUMBER(AC146), AC146-B146,
            IF(ISNUMBER(Z146), Z146-B146, "")
        )
    ), 
    TODAY()-B146))</f>
        <v/>
      </c>
      <c r="AN146" s="386" t="str">
        <f t="shared" si="11"/>
        <v/>
      </c>
      <c r="AO146" s="366" t="str">
        <f t="shared" si="12"/>
        <v/>
      </c>
      <c r="AP146" s="210" t="str">
        <f t="shared" si="13"/>
        <v/>
      </c>
      <c r="AQ146" s="196" t="str">
        <f t="shared" si="26"/>
        <v/>
      </c>
      <c r="AR146" s="168" t="str">
        <f>IFS(AND(B146&gt;=DATE(2025,1,1), B146&lt;=DATE(2025,1,31)), AQ146/DDashboard!$C$2, AND(B146&gt;=DATE(2025,2,1), B146&lt;=DATE(2025,2,28)), AQ146/DDashboard!$C$3, AND(B146&gt;=DATE(2025,3,1), B146&lt;=DATE(2025,3,31)), AQ146/DDashboard!$C$4, AND(B146&gt;=DATE(2025,4,1), B146&lt;=DATE(2025,4,30)), AQ146/DDashboard!$C$5,AND(B146&gt;=DATE(2025,5,1), B146&lt;=DATE(2025,5,31)), AQ146/DDashboard!$C$6,AND(B146&gt;=DATE(2025,6,1), B146&lt;=DATE(2025,6,30)), AQ146/DDashboard!$C$7,AND(B146&gt;=DATE(2025,7,1), B146&lt;=DATE(2025,7,31)), AQ146/DDashboard!$C$8,AND(B146&gt;=DATE(2025,8,1), B146&lt;=DATE(2025,8,31)), AQ146/DDashboard!$C$9,AND(B146&gt;=DATE(2025,9,1), B146&lt;=DATE(2025,9,30)), AQ146/DDashboard!$C$10,AND(B146&gt;=DATE(2025,10,1), B146&lt;=DATE(2025,10,31)), AQ146/DDashboard!$C$11,AND(B146&gt;=DATE(2025,11,1), B146&lt;=DATE(2025,11,30)), AQ146/DDashboard!$C$12, AND(B146&gt;=DATE(2025,12,1), B146&lt;=DATE(2025,12,31)), AQ146/DDashboard!$C$13, True, "")
</f>
        <v/>
      </c>
      <c r="AS146" s="200" t="str">
        <f t="array" ref="AS146">IF(ISBLANK(C146), "", SUM($AR$9:AR146)
)</f>
        <v/>
      </c>
      <c r="AT146" s="169" t="b">
        <v>0</v>
      </c>
      <c r="AU146" s="169"/>
      <c r="AV146" s="169"/>
      <c r="AW146" s="169"/>
      <c r="AX146" s="387"/>
    </row>
    <row r="147">
      <c r="A147" s="389">
        <v>146.0</v>
      </c>
      <c r="B147" s="138"/>
      <c r="C147" s="139"/>
      <c r="D147" s="401"/>
      <c r="E147" s="141"/>
      <c r="F147" s="142"/>
      <c r="G147" s="398" t="str">
        <f t="shared" si="1"/>
        <v/>
      </c>
      <c r="H147" s="399"/>
      <c r="I147" s="399"/>
      <c r="J147" s="141"/>
      <c r="K147" s="145" t="str">
        <f>IFERROR(__xludf.DUMMYFUNCTION("IF(ISBLANK(C147), """", GOOGLEFINANCE(""NSE:"" &amp; C147,""price""))"),"")</f>
        <v/>
      </c>
      <c r="L147" s="146"/>
      <c r="M147" s="147"/>
      <c r="N147" s="148"/>
      <c r="O147" s="149"/>
      <c r="P147" s="150"/>
      <c r="Q147" s="377"/>
      <c r="R147" s="152"/>
      <c r="S147" s="150"/>
      <c r="T147" s="377"/>
      <c r="U147" s="153" t="str">
        <f t="shared" si="23"/>
        <v/>
      </c>
      <c r="V147" s="154" t="str">
        <f>IFS(AND(B147&gt;=DATE(2025,1,1), B147&lt;=DATE(2025,1,31)), U147/DDashboard!$C$2, AND(B147&gt;=DATE(2025,2,1), B147&lt;=DATE(2025,2,28)), U147/DDashboard!$C$3, AND(B147&gt;=DATE(2025,3,1), B147&lt;=DATE(2025,3,31)), U147/DDashboard!$C$4, AND(B147&gt;=DATE(2025,4,1), B147&lt;=DATE(2025,4,30)), U147/DDashboard!$C$5,AND(B147&gt;=DATE(2025,5,1), B147&lt;=DATE(2025,5,31)), U147/DDashboard!$C$6,AND(B147&gt;=DATE(2025,6,1), B147&lt;=DATE(2025,6,30)), U147/DDashboard!$C$7,AND(B147&gt;=DATE(2025,7,1), B147&lt;=DATE(2025,7,31)), U147/DDashboard!$C$8,AND(B147&gt;=DATE(2025,8,1), B147&lt;=DATE(2025,8,31)), U147/DDashboard!$C$9,AND(B147&gt;=DATE(2025,9,1), B147&lt;=DATE(2025,9,30)), U147/DDashboard!$C$10,AND(B147&gt;=DATE(2025,10,1), B147&lt;=DATE(2025,10,31)), U147/DDashboard!$C$11,AND(B147&gt;=DATE(2025,11,1), B147&lt;=DATE(2025,11,30)), U147/DDashboard!$C$12, AND(B147&gt;=DATE(2025,12,1), B147&lt;=DATE(2025,12,31)), U147/DDashboard!$C$13, True, "")
</f>
        <v/>
      </c>
      <c r="W147" s="65" t="str">
        <f t="shared" si="3"/>
        <v/>
      </c>
      <c r="X147" s="155"/>
      <c r="Y147" s="156"/>
      <c r="Z147" s="392"/>
      <c r="AA147" s="390"/>
      <c r="AB147" s="359"/>
      <c r="AC147" s="360"/>
      <c r="AD147" s="358"/>
      <c r="AE147" s="359"/>
      <c r="AF147" s="360"/>
      <c r="AG147" s="160" t="str">
        <f t="shared" si="4"/>
        <v/>
      </c>
      <c r="AH147" s="393" t="str">
        <f t="shared" si="5"/>
        <v/>
      </c>
      <c r="AI147" s="161" t="str">
        <f t="shared" si="24"/>
        <v/>
      </c>
      <c r="AJ147" s="365" t="str">
        <f t="shared" si="7"/>
        <v/>
      </c>
      <c r="AK147" s="162" t="str">
        <f t="shared" si="25"/>
        <v/>
      </c>
      <c r="AL147" s="161" t="str">
        <f t="shared" si="22"/>
        <v/>
      </c>
      <c r="AM147" s="163" t="str">
        <f>IF(AN147="", "", IF(AN147="Closed", IF(ISNUMBER(AF147), AF147-B147,IF(ISNUMBER(AC147), AC147-B147,IF(ISNUMBER(Z147), Z147-B147, ""))), TODAY()-B147))
</f>
        <v/>
      </c>
      <c r="AN147" s="381" t="str">
        <f t="shared" si="11"/>
        <v/>
      </c>
      <c r="AO147" s="366" t="str">
        <f t="shared" si="12"/>
        <v/>
      </c>
      <c r="AP147" s="166" t="str">
        <f t="shared" si="13"/>
        <v/>
      </c>
      <c r="AQ147" s="167" t="str">
        <f t="shared" si="26"/>
        <v/>
      </c>
      <c r="AR147" s="168" t="str">
        <f>IFS(AND(B147&gt;=DATE(2025,1,1), B147&lt;=DATE(2025,1,31)), AQ147/DDashboard!$C$2, AND(B147&gt;=DATE(2025,2,1), B147&lt;=DATE(2025,2,28)), AQ147/DDashboard!$C$3, AND(B147&gt;=DATE(2025,3,1), B147&lt;=DATE(2025,3,31)), AQ147/DDashboard!$C$4, AND(B147&gt;=DATE(2025,4,1), B147&lt;=DATE(2025,4,30)), AQ147/DDashboard!$C$5,AND(B147&gt;=DATE(2025,5,1), B147&lt;=DATE(2025,5,31)), AQ147/DDashboard!$C$6,AND(B147&gt;=DATE(2025,6,1), B147&lt;=DATE(2025,6,30)), AQ147/DDashboard!$C$7,AND(B147&gt;=DATE(2025,7,1), B147&lt;=DATE(2025,7,31)), AQ147/DDashboard!$C$8,AND(B147&gt;=DATE(2025,8,1), B147&lt;=DATE(2025,8,31)), AQ147/DDashboard!$C$9,AND(B147&gt;=DATE(2025,9,1), B147&lt;=DATE(2025,9,30)), AQ147/DDashboard!$C$10,AND(B147&gt;=DATE(2025,10,1), B147&lt;=DATE(2025,10,31)), AQ147/DDashboard!$C$11,AND(B147&gt;=DATE(2025,11,1), B147&lt;=DATE(2025,11,30)), AQ147/DDashboard!$C$12, AND(B147&gt;=DATE(2025,12,1), B147&lt;=DATE(2025,12,31)), AQ147/DDashboard!$C$13, True, "")
</f>
        <v/>
      </c>
      <c r="AS147" s="200" t="str">
        <f t="array" ref="AS147">IF(ISBLANK(C147), "", SUM($AR$9:AR147)
)</f>
        <v/>
      </c>
      <c r="AT147" s="169" t="b">
        <v>0</v>
      </c>
      <c r="AU147" s="169"/>
      <c r="AV147" s="169"/>
      <c r="AW147" s="169"/>
      <c r="AX147" s="383"/>
    </row>
    <row r="148">
      <c r="A148" s="388">
        <v>147.0</v>
      </c>
      <c r="B148" s="184"/>
      <c r="C148" s="185"/>
      <c r="D148" s="400"/>
      <c r="E148" s="187"/>
      <c r="F148" s="188"/>
      <c r="G148" s="397" t="str">
        <f t="shared" si="1"/>
        <v/>
      </c>
      <c r="H148" s="402"/>
      <c r="I148" s="402"/>
      <c r="J148" s="187"/>
      <c r="K148" s="145" t="str">
        <f>IFERROR(__xludf.DUMMYFUNCTION("IF(ISBLANK(C148), """", GOOGLEFINANCE(""NSE:"" &amp; C148,""price""))"),"")</f>
        <v/>
      </c>
      <c r="L148" s="213"/>
      <c r="M148" s="193"/>
      <c r="N148" s="194"/>
      <c r="O148" s="195"/>
      <c r="P148" s="196"/>
      <c r="Q148" s="376"/>
      <c r="R148" s="198"/>
      <c r="S148" s="196"/>
      <c r="T148" s="376"/>
      <c r="U148" s="199" t="str">
        <f t="shared" si="23"/>
        <v/>
      </c>
      <c r="V148" s="200" t="str">
        <f>IFS(AND(B148&gt;=DATE(2025,1,1), B148&lt;=DATE(2025,1,31)), U148/DDashboard!$C$2, AND(B148&gt;=DATE(2025,2,1), B148&lt;=DATE(2025,2,28)), U148/DDashboard!$C$3, AND(B148&gt;=DATE(2025,3,1), B148&lt;=DATE(2025,3,31)), U148/DDashboard!$C$4, AND(B148&gt;=DATE(2025,4,1), B148&lt;=DATE(2025,4,30)), U148/DDashboard!$C$5,AND(B148&gt;=DATE(2025,5,1), B148&lt;=DATE(2025,5,31)), U148/DDashboard!$C$6,AND(B148&gt;=DATE(2025,6,1), B148&lt;=DATE(2025,6,30)), U148/DDashboard!$C$7,AND(B148&gt;=DATE(2025,7,1), B148&lt;=DATE(2025,7,31)), U148/DDashboard!$C$8,AND(B148&gt;=DATE(2025,8,1), B148&lt;=DATE(2025,8,31)), U148/DDashboard!$C$9,AND(B148&gt;=DATE(2025,9,1), B148&lt;=DATE(2025,9,30)), U148/DDashboard!$C$10,AND(B148&gt;=DATE(2025,10,1), B148&lt;=DATE(2025,10,31)), U148/DDashboard!$C$11,AND(B148&gt;=DATE(2025,11,1), B148&lt;=DATE(2025,11,30)), U148/DDashboard!$C$12, AND(B148&gt;=DATE(2025,12,1), B148&lt;=DATE(2025,12,31)), U148/DDashboard!$C$13, True, "")
</f>
        <v/>
      </c>
      <c r="W148" s="201" t="str">
        <f t="shared" si="3"/>
        <v/>
      </c>
      <c r="X148" s="202"/>
      <c r="Y148" s="203"/>
      <c r="Z148" s="391"/>
      <c r="AA148" s="198"/>
      <c r="AB148" s="222"/>
      <c r="AC148" s="223"/>
      <c r="AD148" s="195"/>
      <c r="AE148" s="222"/>
      <c r="AF148" s="223"/>
      <c r="AG148" s="206" t="str">
        <f t="shared" si="4"/>
        <v/>
      </c>
      <c r="AH148" s="385" t="str">
        <f t="shared" si="5"/>
        <v/>
      </c>
      <c r="AI148" s="207" t="str">
        <f t="shared" si="24"/>
        <v/>
      </c>
      <c r="AJ148" s="367" t="str">
        <f t="shared" si="7"/>
        <v/>
      </c>
      <c r="AK148" s="208" t="str">
        <f t="shared" si="25"/>
        <v/>
      </c>
      <c r="AL148" s="207" t="str">
        <f t="shared" si="22"/>
        <v/>
      </c>
      <c r="AM148" s="209" t="str">
        <f>IF(AN148="", "", IF(AN148="Closed", 
    IF(ISNUMBER(AF148), AF148-B148,
        IF(ISNUMBER(AC148), AC148-B148,
            IF(ISNUMBER(Z148), Z148-B148, "")
        )
    ), 
    TODAY()-B148))</f>
        <v/>
      </c>
      <c r="AN148" s="386" t="str">
        <f t="shared" si="11"/>
        <v/>
      </c>
      <c r="AO148" s="366" t="str">
        <f t="shared" si="12"/>
        <v/>
      </c>
      <c r="AP148" s="210" t="str">
        <f t="shared" si="13"/>
        <v/>
      </c>
      <c r="AQ148" s="196" t="str">
        <f t="shared" si="26"/>
        <v/>
      </c>
      <c r="AR148" s="168" t="str">
        <f>IFS(AND(B148&gt;=DATE(2025,1,1), B148&lt;=DATE(2025,1,31)), AQ148/DDashboard!$C$2, AND(B148&gt;=DATE(2025,2,1), B148&lt;=DATE(2025,2,28)), AQ148/DDashboard!$C$3, AND(B148&gt;=DATE(2025,3,1), B148&lt;=DATE(2025,3,31)), AQ148/DDashboard!$C$4, AND(B148&gt;=DATE(2025,4,1), B148&lt;=DATE(2025,4,30)), AQ148/DDashboard!$C$5,AND(B148&gt;=DATE(2025,5,1), B148&lt;=DATE(2025,5,31)), AQ148/DDashboard!$C$6,AND(B148&gt;=DATE(2025,6,1), B148&lt;=DATE(2025,6,30)), AQ148/DDashboard!$C$7,AND(B148&gt;=DATE(2025,7,1), B148&lt;=DATE(2025,7,31)), AQ148/DDashboard!$C$8,AND(B148&gt;=DATE(2025,8,1), B148&lt;=DATE(2025,8,31)), AQ148/DDashboard!$C$9,AND(B148&gt;=DATE(2025,9,1), B148&lt;=DATE(2025,9,30)), AQ148/DDashboard!$C$10,AND(B148&gt;=DATE(2025,10,1), B148&lt;=DATE(2025,10,31)), AQ148/DDashboard!$C$11,AND(B148&gt;=DATE(2025,11,1), B148&lt;=DATE(2025,11,30)), AQ148/DDashboard!$C$12, AND(B148&gt;=DATE(2025,12,1), B148&lt;=DATE(2025,12,31)), AQ148/DDashboard!$C$13, True, "")
</f>
        <v/>
      </c>
      <c r="AS148" s="200" t="str">
        <f t="array" ref="AS148">IF(ISBLANK(C148), "", SUM($AR$9:AR148)
)</f>
        <v/>
      </c>
      <c r="AT148" s="169" t="b">
        <v>0</v>
      </c>
      <c r="AU148" s="169"/>
      <c r="AV148" s="169"/>
      <c r="AW148" s="169"/>
      <c r="AX148" s="387"/>
    </row>
    <row r="149">
      <c r="A149" s="389">
        <v>148.0</v>
      </c>
      <c r="B149" s="138"/>
      <c r="C149" s="139"/>
      <c r="D149" s="401"/>
      <c r="E149" s="141"/>
      <c r="F149" s="142"/>
      <c r="G149" s="398" t="str">
        <f t="shared" si="1"/>
        <v/>
      </c>
      <c r="H149" s="399"/>
      <c r="I149" s="399"/>
      <c r="J149" s="141"/>
      <c r="K149" s="145" t="str">
        <f>IFERROR(__xludf.DUMMYFUNCTION("IF(ISBLANK(C149), """", GOOGLEFINANCE(""NSE:"" &amp; C149,""price""))"),"")</f>
        <v/>
      </c>
      <c r="L149" s="146"/>
      <c r="M149" s="147"/>
      <c r="N149" s="148"/>
      <c r="O149" s="149"/>
      <c r="P149" s="150"/>
      <c r="Q149" s="377"/>
      <c r="R149" s="152"/>
      <c r="S149" s="150"/>
      <c r="T149" s="377"/>
      <c r="U149" s="153" t="str">
        <f t="shared" si="23"/>
        <v/>
      </c>
      <c r="V149" s="154" t="str">
        <f>IFS(AND(B149&gt;=DATE(2025,1,1), B149&lt;=DATE(2025,1,31)), U149/DDashboard!$C$2, AND(B149&gt;=DATE(2025,2,1), B149&lt;=DATE(2025,2,28)), U149/DDashboard!$C$3, AND(B149&gt;=DATE(2025,3,1), B149&lt;=DATE(2025,3,31)), U149/DDashboard!$C$4, AND(B149&gt;=DATE(2025,4,1), B149&lt;=DATE(2025,4,30)), U149/DDashboard!$C$5,AND(B149&gt;=DATE(2025,5,1), B149&lt;=DATE(2025,5,31)), U149/DDashboard!$C$6,AND(B149&gt;=DATE(2025,6,1), B149&lt;=DATE(2025,6,30)), U149/DDashboard!$C$7,AND(B149&gt;=DATE(2025,7,1), B149&lt;=DATE(2025,7,31)), U149/DDashboard!$C$8,AND(B149&gt;=DATE(2025,8,1), B149&lt;=DATE(2025,8,31)), U149/DDashboard!$C$9,AND(B149&gt;=DATE(2025,9,1), B149&lt;=DATE(2025,9,30)), U149/DDashboard!$C$10,AND(B149&gt;=DATE(2025,10,1), B149&lt;=DATE(2025,10,31)), U149/DDashboard!$C$11,AND(B149&gt;=DATE(2025,11,1), B149&lt;=DATE(2025,11,30)), U149/DDashboard!$C$12, AND(B149&gt;=DATE(2025,12,1), B149&lt;=DATE(2025,12,31)), U149/DDashboard!$C$13, True, "")
</f>
        <v/>
      </c>
      <c r="W149" s="65" t="str">
        <f t="shared" si="3"/>
        <v/>
      </c>
      <c r="X149" s="155"/>
      <c r="Y149" s="156"/>
      <c r="Z149" s="406"/>
      <c r="AA149" s="390"/>
      <c r="AB149" s="359"/>
      <c r="AC149" s="360"/>
      <c r="AD149" s="358"/>
      <c r="AE149" s="359"/>
      <c r="AF149" s="360"/>
      <c r="AG149" s="160" t="str">
        <f t="shared" si="4"/>
        <v/>
      </c>
      <c r="AH149" s="393" t="str">
        <f t="shared" si="5"/>
        <v/>
      </c>
      <c r="AI149" s="161" t="str">
        <f t="shared" si="24"/>
        <v/>
      </c>
      <c r="AJ149" s="365" t="str">
        <f t="shared" si="7"/>
        <v/>
      </c>
      <c r="AK149" s="162" t="str">
        <f t="shared" si="25"/>
        <v/>
      </c>
      <c r="AL149" s="161" t="str">
        <f t="shared" si="22"/>
        <v/>
      </c>
      <c r="AM149" s="163" t="str">
        <f>IF(AN149="", "", IF(AN149="Closed", IF(ISNUMBER(AF149), AF149-B149,IF(ISNUMBER(AC149), AC149-B149,IF(ISNUMBER(Z149), Z149-B149, ""))), TODAY()-B149))
</f>
        <v/>
      </c>
      <c r="AN149" s="381" t="str">
        <f t="shared" si="11"/>
        <v/>
      </c>
      <c r="AO149" s="366" t="str">
        <f t="shared" si="12"/>
        <v/>
      </c>
      <c r="AP149" s="166" t="str">
        <f t="shared" si="13"/>
        <v/>
      </c>
      <c r="AQ149" s="167" t="str">
        <f t="shared" si="26"/>
        <v/>
      </c>
      <c r="AR149" s="168" t="str">
        <f>IFS(AND(B149&gt;=DATE(2025,1,1), B149&lt;=DATE(2025,1,31)), AQ149/DDashboard!$C$2, AND(B149&gt;=DATE(2025,2,1), B149&lt;=DATE(2025,2,28)), AQ149/DDashboard!$C$3, AND(B149&gt;=DATE(2025,3,1), B149&lt;=DATE(2025,3,31)), AQ149/DDashboard!$C$4, AND(B149&gt;=DATE(2025,4,1), B149&lt;=DATE(2025,4,30)), AQ149/DDashboard!$C$5,AND(B149&gt;=DATE(2025,5,1), B149&lt;=DATE(2025,5,31)), AQ149/DDashboard!$C$6,AND(B149&gt;=DATE(2025,6,1), B149&lt;=DATE(2025,6,30)), AQ149/DDashboard!$C$7,AND(B149&gt;=DATE(2025,7,1), B149&lt;=DATE(2025,7,31)), AQ149/DDashboard!$C$8,AND(B149&gt;=DATE(2025,8,1), B149&lt;=DATE(2025,8,31)), AQ149/DDashboard!$C$9,AND(B149&gt;=DATE(2025,9,1), B149&lt;=DATE(2025,9,30)), AQ149/DDashboard!$C$10,AND(B149&gt;=DATE(2025,10,1), B149&lt;=DATE(2025,10,31)), AQ149/DDashboard!$C$11,AND(B149&gt;=DATE(2025,11,1), B149&lt;=DATE(2025,11,30)), AQ149/DDashboard!$C$12, AND(B149&gt;=DATE(2025,12,1), B149&lt;=DATE(2025,12,31)), AQ149/DDashboard!$C$13, True, "")
</f>
        <v/>
      </c>
      <c r="AS149" s="200" t="str">
        <f t="array" ref="AS149">IF(ISBLANK(C149), "", SUM($AR$9:AR149)
)</f>
        <v/>
      </c>
      <c r="AT149" s="169" t="b">
        <v>0</v>
      </c>
      <c r="AU149" s="169"/>
      <c r="AV149" s="169"/>
      <c r="AW149" s="169"/>
      <c r="AX149" s="383"/>
    </row>
    <row r="150">
      <c r="A150" s="388">
        <v>149.0</v>
      </c>
      <c r="B150" s="184"/>
      <c r="C150" s="185"/>
      <c r="D150" s="400"/>
      <c r="E150" s="187"/>
      <c r="F150" s="188"/>
      <c r="G150" s="397" t="str">
        <f t="shared" si="1"/>
        <v/>
      </c>
      <c r="H150" s="402"/>
      <c r="I150" s="402"/>
      <c r="J150" s="187"/>
      <c r="K150" s="145" t="str">
        <f>IFERROR(__xludf.DUMMYFUNCTION("IF(ISBLANK(C150), """", GOOGLEFINANCE(""NSE:"" &amp; C150,""price""))"),"")</f>
        <v/>
      </c>
      <c r="L150" s="213"/>
      <c r="M150" s="193"/>
      <c r="N150" s="194"/>
      <c r="O150" s="195"/>
      <c r="P150" s="196"/>
      <c r="Q150" s="376"/>
      <c r="R150" s="198"/>
      <c r="S150" s="196"/>
      <c r="T150" s="376"/>
      <c r="U150" s="199" t="str">
        <f t="shared" si="23"/>
        <v/>
      </c>
      <c r="V150" s="200" t="str">
        <f>IFS(AND(B150&gt;=DATE(2025,1,1), B150&lt;=DATE(2025,1,31)), U150/DDashboard!$C$2, AND(B150&gt;=DATE(2025,2,1), B150&lt;=DATE(2025,2,28)), U150/DDashboard!$C$3, AND(B150&gt;=DATE(2025,3,1), B150&lt;=DATE(2025,3,31)), U150/DDashboard!$C$4, AND(B150&gt;=DATE(2025,4,1), B150&lt;=DATE(2025,4,30)), U150/DDashboard!$C$5,AND(B150&gt;=DATE(2025,5,1), B150&lt;=DATE(2025,5,31)), U150/DDashboard!$C$6,AND(B150&gt;=DATE(2025,6,1), B150&lt;=DATE(2025,6,30)), U150/DDashboard!$C$7,AND(B150&gt;=DATE(2025,7,1), B150&lt;=DATE(2025,7,31)), U150/DDashboard!$C$8,AND(B150&gt;=DATE(2025,8,1), B150&lt;=DATE(2025,8,31)), U150/DDashboard!$C$9,AND(B150&gt;=DATE(2025,9,1), B150&lt;=DATE(2025,9,30)), U150/DDashboard!$C$10,AND(B150&gt;=DATE(2025,10,1), B150&lt;=DATE(2025,10,31)), U150/DDashboard!$C$11,AND(B150&gt;=DATE(2025,11,1), B150&lt;=DATE(2025,11,30)), U150/DDashboard!$C$12, AND(B150&gt;=DATE(2025,12,1), B150&lt;=DATE(2025,12,31)), U150/DDashboard!$C$13, True, "")
</f>
        <v/>
      </c>
      <c r="W150" s="201" t="str">
        <f t="shared" si="3"/>
        <v/>
      </c>
      <c r="X150" s="202"/>
      <c r="Y150" s="203"/>
      <c r="Z150" s="391"/>
      <c r="AA150" s="198"/>
      <c r="AB150" s="222"/>
      <c r="AC150" s="223"/>
      <c r="AD150" s="195"/>
      <c r="AE150" s="222"/>
      <c r="AF150" s="223"/>
      <c r="AG150" s="206" t="str">
        <f t="shared" si="4"/>
        <v/>
      </c>
      <c r="AH150" s="385" t="str">
        <f t="shared" si="5"/>
        <v/>
      </c>
      <c r="AI150" s="207" t="str">
        <f t="shared" si="24"/>
        <v/>
      </c>
      <c r="AJ150" s="367" t="str">
        <f t="shared" si="7"/>
        <v/>
      </c>
      <c r="AK150" s="208" t="str">
        <f t="shared" si="25"/>
        <v/>
      </c>
      <c r="AL150" s="207" t="str">
        <f t="shared" si="22"/>
        <v/>
      </c>
      <c r="AM150" s="209" t="str">
        <f>IF(AN150="", "", IF(AN150="Closed", 
    IF(ISNUMBER(AF150), AF150-B150,
        IF(ISNUMBER(AC150), AC150-B150,
            IF(ISNUMBER(Z150), Z150-B150, "")
        )
    ), 
    TODAY()-B150))</f>
        <v/>
      </c>
      <c r="AN150" s="386" t="str">
        <f t="shared" si="11"/>
        <v/>
      </c>
      <c r="AO150" s="366" t="str">
        <f t="shared" si="12"/>
        <v/>
      </c>
      <c r="AP150" s="210" t="str">
        <f t="shared" si="13"/>
        <v/>
      </c>
      <c r="AQ150" s="196" t="str">
        <f t="shared" si="26"/>
        <v/>
      </c>
      <c r="AR150" s="168" t="str">
        <f>IFS(AND(B150&gt;=DATE(2025,1,1), B150&lt;=DATE(2025,1,31)), AQ150/DDashboard!$C$2, AND(B150&gt;=DATE(2025,2,1), B150&lt;=DATE(2025,2,28)), AQ150/DDashboard!$C$3, AND(B150&gt;=DATE(2025,3,1), B150&lt;=DATE(2025,3,31)), AQ150/DDashboard!$C$4, AND(B150&gt;=DATE(2025,4,1), B150&lt;=DATE(2025,4,30)), AQ150/DDashboard!$C$5,AND(B150&gt;=DATE(2025,5,1), B150&lt;=DATE(2025,5,31)), AQ150/DDashboard!$C$6,AND(B150&gt;=DATE(2025,6,1), B150&lt;=DATE(2025,6,30)), AQ150/DDashboard!$C$7,AND(B150&gt;=DATE(2025,7,1), B150&lt;=DATE(2025,7,31)), AQ150/DDashboard!$C$8,AND(B150&gt;=DATE(2025,8,1), B150&lt;=DATE(2025,8,31)), AQ150/DDashboard!$C$9,AND(B150&gt;=DATE(2025,9,1), B150&lt;=DATE(2025,9,30)), AQ150/DDashboard!$C$10,AND(B150&gt;=DATE(2025,10,1), B150&lt;=DATE(2025,10,31)), AQ150/DDashboard!$C$11,AND(B150&gt;=DATE(2025,11,1), B150&lt;=DATE(2025,11,30)), AQ150/DDashboard!$C$12, AND(B150&gt;=DATE(2025,12,1), B150&lt;=DATE(2025,12,31)), AQ150/DDashboard!$C$13, True, "")
</f>
        <v/>
      </c>
      <c r="AS150" s="200" t="str">
        <f t="array" ref="AS150">IF(ISBLANK(C150), "", SUM($AR$9:AR150)
)</f>
        <v/>
      </c>
      <c r="AT150" s="169" t="b">
        <v>0</v>
      </c>
      <c r="AU150" s="169"/>
      <c r="AV150" s="169"/>
      <c r="AW150" s="169"/>
      <c r="AX150" s="387"/>
    </row>
    <row r="151">
      <c r="A151" s="389">
        <v>150.0</v>
      </c>
      <c r="B151" s="138"/>
      <c r="C151" s="139"/>
      <c r="D151" s="403"/>
      <c r="E151" s="403"/>
      <c r="F151" s="142"/>
      <c r="G151" s="398" t="str">
        <f t="shared" si="1"/>
        <v/>
      </c>
      <c r="H151" s="399"/>
      <c r="I151" s="399"/>
      <c r="J151" s="141"/>
      <c r="K151" s="145" t="str">
        <f>IFERROR(__xludf.DUMMYFUNCTION("IF(ISBLANK(C151), """", GOOGLEFINANCE(""NSE:"" &amp; C151,""price""))"),"")</f>
        <v/>
      </c>
      <c r="L151" s="146"/>
      <c r="M151" s="147"/>
      <c r="N151" s="148"/>
      <c r="O151" s="149"/>
      <c r="P151" s="150"/>
      <c r="Q151" s="377"/>
      <c r="R151" s="152"/>
      <c r="S151" s="150"/>
      <c r="T151" s="377"/>
      <c r="U151" s="153" t="str">
        <f t="shared" si="23"/>
        <v/>
      </c>
      <c r="V151" s="154" t="str">
        <f>IFS(AND(B151&gt;=DATE(2025,1,1), B151&lt;=DATE(2025,1,31)), U151/DDashboard!$C$2, AND(B151&gt;=DATE(2025,2,1), B151&lt;=DATE(2025,2,28)), U151/DDashboard!$C$3, AND(B151&gt;=DATE(2025,3,1), B151&lt;=DATE(2025,3,31)), U151/DDashboard!$C$4, AND(B151&gt;=DATE(2025,4,1), B151&lt;=DATE(2025,4,30)), U151/DDashboard!$C$5,AND(B151&gt;=DATE(2025,5,1), B151&lt;=DATE(2025,5,31)), U151/DDashboard!$C$6,AND(B151&gt;=DATE(2025,6,1), B151&lt;=DATE(2025,6,30)), U151/DDashboard!$C$7,AND(B151&gt;=DATE(2025,7,1), B151&lt;=DATE(2025,7,31)), U151/DDashboard!$C$8,AND(B151&gt;=DATE(2025,8,1), B151&lt;=DATE(2025,8,31)), U151/DDashboard!$C$9,AND(B151&gt;=DATE(2025,9,1), B151&lt;=DATE(2025,9,30)), U151/DDashboard!$C$10,AND(B151&gt;=DATE(2025,10,1), B151&lt;=DATE(2025,10,31)), U151/DDashboard!$C$11,AND(B151&gt;=DATE(2025,11,1), B151&lt;=DATE(2025,11,30)), U151/DDashboard!$C$12, AND(B151&gt;=DATE(2025,12,1), B151&lt;=DATE(2025,12,31)), U151/DDashboard!$C$13, True, "")
</f>
        <v/>
      </c>
      <c r="W151" s="65" t="str">
        <f t="shared" si="3"/>
        <v/>
      </c>
      <c r="X151" s="155"/>
      <c r="Y151" s="156"/>
      <c r="Z151" s="392"/>
      <c r="AA151" s="390"/>
      <c r="AB151" s="359"/>
      <c r="AC151" s="360"/>
      <c r="AD151" s="358"/>
      <c r="AE151" s="359"/>
      <c r="AF151" s="360"/>
      <c r="AG151" s="160" t="str">
        <f t="shared" si="4"/>
        <v/>
      </c>
      <c r="AH151" s="393" t="str">
        <f t="shared" si="5"/>
        <v/>
      </c>
      <c r="AI151" s="161" t="str">
        <f t="shared" si="24"/>
        <v/>
      </c>
      <c r="AJ151" s="365" t="str">
        <f t="shared" si="7"/>
        <v/>
      </c>
      <c r="AK151" s="162" t="str">
        <f t="shared" si="25"/>
        <v/>
      </c>
      <c r="AL151" s="161" t="str">
        <f t="shared" si="22"/>
        <v/>
      </c>
      <c r="AM151" s="163" t="str">
        <f>IF(AN151="", "", IF(AN151="Closed", IF(ISNUMBER(AF151), AF151-B151,IF(ISNUMBER(AC151), AC151-B151,IF(ISNUMBER(Z151), Z151-B151, ""))), TODAY()-B151))
</f>
        <v/>
      </c>
      <c r="AN151" s="381" t="str">
        <f t="shared" si="11"/>
        <v/>
      </c>
      <c r="AO151" s="366" t="str">
        <f t="shared" si="12"/>
        <v/>
      </c>
      <c r="AP151" s="166" t="str">
        <f t="shared" si="13"/>
        <v/>
      </c>
      <c r="AQ151" s="167" t="str">
        <f t="shared" si="26"/>
        <v/>
      </c>
      <c r="AR151" s="168" t="str">
        <f>IFS(AND(B151&gt;=DATE(2025,1,1), B151&lt;=DATE(2025,1,31)), AQ151/DDashboard!$C$2, AND(B151&gt;=DATE(2025,2,1), B151&lt;=DATE(2025,2,28)), AQ151/DDashboard!$C$3, AND(B151&gt;=DATE(2025,3,1), B151&lt;=DATE(2025,3,31)), AQ151/DDashboard!$C$4, AND(B151&gt;=DATE(2025,4,1), B151&lt;=DATE(2025,4,30)), AQ151/DDashboard!$C$5,AND(B151&gt;=DATE(2025,5,1), B151&lt;=DATE(2025,5,31)), AQ151/DDashboard!$C$6,AND(B151&gt;=DATE(2025,6,1), B151&lt;=DATE(2025,6,30)), AQ151/DDashboard!$C$7,AND(B151&gt;=DATE(2025,7,1), B151&lt;=DATE(2025,7,31)), AQ151/DDashboard!$C$8,AND(B151&gt;=DATE(2025,8,1), B151&lt;=DATE(2025,8,31)), AQ151/DDashboard!$C$9,AND(B151&gt;=DATE(2025,9,1), B151&lt;=DATE(2025,9,30)), AQ151/DDashboard!$C$10,AND(B151&gt;=DATE(2025,10,1), B151&lt;=DATE(2025,10,31)), AQ151/DDashboard!$C$11,AND(B151&gt;=DATE(2025,11,1), B151&lt;=DATE(2025,11,30)), AQ151/DDashboard!$C$12, AND(B151&gt;=DATE(2025,12,1), B151&lt;=DATE(2025,12,31)), AQ151/DDashboard!$C$13, True, "")
</f>
        <v/>
      </c>
      <c r="AS151" s="200" t="str">
        <f t="array" ref="AS151">IF(ISBLANK(C151), "", SUM($AR$9:AR151)
)</f>
        <v/>
      </c>
      <c r="AT151" s="169" t="b">
        <v>0</v>
      </c>
      <c r="AU151" s="169"/>
      <c r="AV151" s="169"/>
      <c r="AW151" s="169"/>
      <c r="AX151" s="183"/>
    </row>
    <row r="152">
      <c r="A152" s="388">
        <v>151.0</v>
      </c>
      <c r="B152" s="184"/>
      <c r="C152" s="185"/>
      <c r="D152" s="400"/>
      <c r="E152" s="187"/>
      <c r="F152" s="188"/>
      <c r="G152" s="397" t="str">
        <f t="shared" si="1"/>
        <v/>
      </c>
      <c r="H152" s="402"/>
      <c r="I152" s="402"/>
      <c r="J152" s="187"/>
      <c r="K152" s="145" t="str">
        <f>IFERROR(__xludf.DUMMYFUNCTION("IF(ISBLANK(C152), """", GOOGLEFINANCE(""NSE:"" &amp; C152,""price""))"),"")</f>
        <v/>
      </c>
      <c r="L152" s="213"/>
      <c r="M152" s="193"/>
      <c r="N152" s="194"/>
      <c r="O152" s="205"/>
      <c r="P152" s="228"/>
      <c r="Q152" s="370"/>
      <c r="R152" s="198"/>
      <c r="S152" s="196"/>
      <c r="T152" s="376"/>
      <c r="U152" s="199" t="str">
        <f t="shared" si="23"/>
        <v/>
      </c>
      <c r="V152" s="200" t="str">
        <f>IFS(AND(B152&gt;=DATE(2025,1,1), B152&lt;=DATE(2025,1,31)), U152/DDashboard!$C$2, AND(B152&gt;=DATE(2025,2,1), B152&lt;=DATE(2025,2,28)), U152/DDashboard!$C$3, AND(B152&gt;=DATE(2025,3,1), B152&lt;=DATE(2025,3,31)), U152/DDashboard!$C$4, AND(B152&gt;=DATE(2025,4,1), B152&lt;=DATE(2025,4,30)), U152/DDashboard!$C$5,AND(B152&gt;=DATE(2025,5,1), B152&lt;=DATE(2025,5,31)), U152/DDashboard!$C$6,AND(B152&gt;=DATE(2025,6,1), B152&lt;=DATE(2025,6,30)), U152/DDashboard!$C$7,AND(B152&gt;=DATE(2025,7,1), B152&lt;=DATE(2025,7,31)), U152/DDashboard!$C$8,AND(B152&gt;=DATE(2025,8,1), B152&lt;=DATE(2025,8,31)), U152/DDashboard!$C$9,AND(B152&gt;=DATE(2025,9,1), B152&lt;=DATE(2025,9,30)), U152/DDashboard!$C$10,AND(B152&gt;=DATE(2025,10,1), B152&lt;=DATE(2025,10,31)), U152/DDashboard!$C$11,AND(B152&gt;=DATE(2025,11,1), B152&lt;=DATE(2025,11,30)), U152/DDashboard!$C$12, AND(B152&gt;=DATE(2025,12,1), B152&lt;=DATE(2025,12,31)), U152/DDashboard!$C$13, True, "")
</f>
        <v/>
      </c>
      <c r="W152" s="201" t="str">
        <f t="shared" si="3"/>
        <v/>
      </c>
      <c r="X152" s="202"/>
      <c r="Y152" s="203"/>
      <c r="Z152" s="391"/>
      <c r="AA152" s="198"/>
      <c r="AB152" s="222"/>
      <c r="AC152" s="223"/>
      <c r="AD152" s="195"/>
      <c r="AE152" s="222"/>
      <c r="AF152" s="223"/>
      <c r="AG152" s="206" t="str">
        <f t="shared" si="4"/>
        <v/>
      </c>
      <c r="AH152" s="385" t="str">
        <f t="shared" si="5"/>
        <v/>
      </c>
      <c r="AI152" s="207" t="str">
        <f t="shared" si="24"/>
        <v/>
      </c>
      <c r="AJ152" s="367" t="str">
        <f t="shared" si="7"/>
        <v/>
      </c>
      <c r="AK152" s="208" t="str">
        <f t="shared" si="25"/>
        <v/>
      </c>
      <c r="AL152" s="207" t="str">
        <f t="shared" si="22"/>
        <v/>
      </c>
      <c r="AM152" s="209" t="str">
        <f>IF(AN152="", "", IF(AN152="Closed", 
    IF(ISNUMBER(AF152), AF152-B152,
        IF(ISNUMBER(AC152), AC152-B152,
            IF(ISNUMBER(Z152), Z152-B152, "")
        )
    ), 
    TODAY()-B152))</f>
        <v/>
      </c>
      <c r="AN152" s="386" t="str">
        <f t="shared" si="11"/>
        <v/>
      </c>
      <c r="AO152" s="366" t="str">
        <f t="shared" si="12"/>
        <v/>
      </c>
      <c r="AP152" s="210" t="str">
        <f t="shared" si="13"/>
        <v/>
      </c>
      <c r="AQ152" s="196" t="str">
        <f t="shared" si="26"/>
        <v/>
      </c>
      <c r="AR152" s="168" t="str">
        <f>IFS(AND(B152&gt;=DATE(2025,1,1), B152&lt;=DATE(2025,1,31)), AQ152/DDashboard!$C$2, AND(B152&gt;=DATE(2025,2,1), B152&lt;=DATE(2025,2,28)), AQ152/DDashboard!$C$3, AND(B152&gt;=DATE(2025,3,1), B152&lt;=DATE(2025,3,31)), AQ152/DDashboard!$C$4, AND(B152&gt;=DATE(2025,4,1), B152&lt;=DATE(2025,4,30)), AQ152/DDashboard!$C$5,AND(B152&gt;=DATE(2025,5,1), B152&lt;=DATE(2025,5,31)), AQ152/DDashboard!$C$6,AND(B152&gt;=DATE(2025,6,1), B152&lt;=DATE(2025,6,30)), AQ152/DDashboard!$C$7,AND(B152&gt;=DATE(2025,7,1), B152&lt;=DATE(2025,7,31)), AQ152/DDashboard!$C$8,AND(B152&gt;=DATE(2025,8,1), B152&lt;=DATE(2025,8,31)), AQ152/DDashboard!$C$9,AND(B152&gt;=DATE(2025,9,1), B152&lt;=DATE(2025,9,30)), AQ152/DDashboard!$C$10,AND(B152&gt;=DATE(2025,10,1), B152&lt;=DATE(2025,10,31)), AQ152/DDashboard!$C$11,AND(B152&gt;=DATE(2025,11,1), B152&lt;=DATE(2025,11,30)), AQ152/DDashboard!$C$12, AND(B152&gt;=DATE(2025,12,1), B152&lt;=DATE(2025,12,31)), AQ152/DDashboard!$C$13, True, "")
</f>
        <v/>
      </c>
      <c r="AS152" s="200" t="str">
        <f t="array" ref="AS152">IF(ISBLANK(C152), "", SUM($AR$9:AR152)
)</f>
        <v/>
      </c>
      <c r="AT152" s="169" t="b">
        <v>0</v>
      </c>
      <c r="AU152" s="169"/>
      <c r="AV152" s="169"/>
      <c r="AW152" s="169"/>
      <c r="AX152" s="387"/>
    </row>
    <row r="153">
      <c r="A153" s="389">
        <v>152.0</v>
      </c>
      <c r="B153" s="138"/>
      <c r="C153" s="139"/>
      <c r="D153" s="401"/>
      <c r="E153" s="141"/>
      <c r="F153" s="142"/>
      <c r="G153" s="398" t="str">
        <f t="shared" si="1"/>
        <v/>
      </c>
      <c r="H153" s="399"/>
      <c r="I153" s="399"/>
      <c r="J153" s="141"/>
      <c r="K153" s="145" t="str">
        <f>IFERROR(__xludf.DUMMYFUNCTION("IF(ISBLANK(C153), """", GOOGLEFINANCE(""NSE:"" &amp; C153,""price""))"),"")</f>
        <v/>
      </c>
      <c r="L153" s="146"/>
      <c r="M153" s="147"/>
      <c r="N153" s="148"/>
      <c r="O153" s="225"/>
      <c r="P153" s="226"/>
      <c r="Q153" s="368"/>
      <c r="R153" s="152"/>
      <c r="S153" s="150"/>
      <c r="T153" s="377"/>
      <c r="U153" s="153" t="str">
        <f t="shared" si="23"/>
        <v/>
      </c>
      <c r="V153" s="154" t="str">
        <f>IFS(AND(B153&gt;=DATE(2025,1,1), B153&lt;=DATE(2025,1,31)), U153/DDashboard!$C$2, AND(B153&gt;=DATE(2025,2,1), B153&lt;=DATE(2025,2,28)), U153/DDashboard!$C$3, AND(B153&gt;=DATE(2025,3,1), B153&lt;=DATE(2025,3,31)), U153/DDashboard!$C$4, AND(B153&gt;=DATE(2025,4,1), B153&lt;=DATE(2025,4,30)), U153/DDashboard!$C$5,AND(B153&gt;=DATE(2025,5,1), B153&lt;=DATE(2025,5,31)), U153/DDashboard!$C$6,AND(B153&gt;=DATE(2025,6,1), B153&lt;=DATE(2025,6,30)), U153/DDashboard!$C$7,AND(B153&gt;=DATE(2025,7,1), B153&lt;=DATE(2025,7,31)), U153/DDashboard!$C$8,AND(B153&gt;=DATE(2025,8,1), B153&lt;=DATE(2025,8,31)), U153/DDashboard!$C$9,AND(B153&gt;=DATE(2025,9,1), B153&lt;=DATE(2025,9,30)), U153/DDashboard!$C$10,AND(B153&gt;=DATE(2025,10,1), B153&lt;=DATE(2025,10,31)), U153/DDashboard!$C$11,AND(B153&gt;=DATE(2025,11,1), B153&lt;=DATE(2025,11,30)), U153/DDashboard!$C$12, AND(B153&gt;=DATE(2025,12,1), B153&lt;=DATE(2025,12,31)), U153/DDashboard!$C$13, True, "")
</f>
        <v/>
      </c>
      <c r="W153" s="65" t="str">
        <f t="shared" si="3"/>
        <v/>
      </c>
      <c r="X153" s="155"/>
      <c r="Y153" s="156"/>
      <c r="Z153" s="392"/>
      <c r="AA153" s="390"/>
      <c r="AB153" s="359"/>
      <c r="AC153" s="360"/>
      <c r="AD153" s="358"/>
      <c r="AE153" s="359"/>
      <c r="AF153" s="360"/>
      <c r="AG153" s="160" t="str">
        <f t="shared" si="4"/>
        <v/>
      </c>
      <c r="AH153" s="393" t="str">
        <f t="shared" si="5"/>
        <v/>
      </c>
      <c r="AI153" s="161" t="str">
        <f t="shared" si="24"/>
        <v/>
      </c>
      <c r="AJ153" s="365" t="str">
        <f t="shared" si="7"/>
        <v/>
      </c>
      <c r="AK153" s="162" t="str">
        <f t="shared" si="25"/>
        <v/>
      </c>
      <c r="AL153" s="161" t="str">
        <f t="shared" si="22"/>
        <v/>
      </c>
      <c r="AM153" s="163" t="str">
        <f>IF(AN153="", "", IF(AN153="Closed", IF(ISNUMBER(AF153), AF153-B153,IF(ISNUMBER(AC153), AC153-B153,IF(ISNUMBER(Z153), Z153-B153, ""))), TODAY()-B153))
</f>
        <v/>
      </c>
      <c r="AN153" s="381" t="str">
        <f t="shared" si="11"/>
        <v/>
      </c>
      <c r="AO153" s="366" t="str">
        <f t="shared" si="12"/>
        <v/>
      </c>
      <c r="AP153" s="166" t="str">
        <f t="shared" si="13"/>
        <v/>
      </c>
      <c r="AQ153" s="167" t="str">
        <f t="shared" si="26"/>
        <v/>
      </c>
      <c r="AR153" s="168" t="str">
        <f>IFS(AND(B153&gt;=DATE(2025,1,1), B153&lt;=DATE(2025,1,31)), AQ153/DDashboard!$C$2, AND(B153&gt;=DATE(2025,2,1), B153&lt;=DATE(2025,2,28)), AQ153/DDashboard!$C$3, AND(B153&gt;=DATE(2025,3,1), B153&lt;=DATE(2025,3,31)), AQ153/DDashboard!$C$4, AND(B153&gt;=DATE(2025,4,1), B153&lt;=DATE(2025,4,30)), AQ153/DDashboard!$C$5,AND(B153&gt;=DATE(2025,5,1), B153&lt;=DATE(2025,5,31)), AQ153/DDashboard!$C$6,AND(B153&gt;=DATE(2025,6,1), B153&lt;=DATE(2025,6,30)), AQ153/DDashboard!$C$7,AND(B153&gt;=DATE(2025,7,1), B153&lt;=DATE(2025,7,31)), AQ153/DDashboard!$C$8,AND(B153&gt;=DATE(2025,8,1), B153&lt;=DATE(2025,8,31)), AQ153/DDashboard!$C$9,AND(B153&gt;=DATE(2025,9,1), B153&lt;=DATE(2025,9,30)), AQ153/DDashboard!$C$10,AND(B153&gt;=DATE(2025,10,1), B153&lt;=DATE(2025,10,31)), AQ153/DDashboard!$C$11,AND(B153&gt;=DATE(2025,11,1), B153&lt;=DATE(2025,11,30)), AQ153/DDashboard!$C$12, AND(B153&gt;=DATE(2025,12,1), B153&lt;=DATE(2025,12,31)), AQ153/DDashboard!$C$13, True, "")
</f>
        <v/>
      </c>
      <c r="AS153" s="200" t="str">
        <f t="array" ref="AS153">IF(ISBLANK(C153), "", SUM($AR$9:AR153)
)</f>
        <v/>
      </c>
      <c r="AT153" s="169" t="b">
        <v>0</v>
      </c>
      <c r="AU153" s="169"/>
      <c r="AV153" s="169"/>
      <c r="AW153" s="169"/>
      <c r="AX153" s="383"/>
    </row>
    <row r="154">
      <c r="A154" s="388">
        <v>153.0</v>
      </c>
      <c r="B154" s="184"/>
      <c r="C154" s="185"/>
      <c r="D154" s="400"/>
      <c r="E154" s="187"/>
      <c r="F154" s="188"/>
      <c r="G154" s="397" t="str">
        <f t="shared" si="1"/>
        <v/>
      </c>
      <c r="H154" s="190"/>
      <c r="I154" s="402"/>
      <c r="J154" s="187"/>
      <c r="K154" s="145" t="str">
        <f>IFERROR(__xludf.DUMMYFUNCTION("IF(ISBLANK(C154), """", GOOGLEFINANCE(""NSE:"" &amp; C154,""price""))"),"")</f>
        <v/>
      </c>
      <c r="L154" s="213"/>
      <c r="M154" s="193"/>
      <c r="N154" s="194"/>
      <c r="O154" s="195"/>
      <c r="P154" s="196"/>
      <c r="Q154" s="376"/>
      <c r="R154" s="198"/>
      <c r="S154" s="196"/>
      <c r="T154" s="376"/>
      <c r="U154" s="199" t="str">
        <f t="shared" si="23"/>
        <v/>
      </c>
      <c r="V154" s="200" t="str">
        <f>IFS(AND(B154&gt;=DATE(2025,1,1), B154&lt;=DATE(2025,1,31)), U154/DDashboard!$C$2, AND(B154&gt;=DATE(2025,2,1), B154&lt;=DATE(2025,2,28)), U154/DDashboard!$C$3, AND(B154&gt;=DATE(2025,3,1), B154&lt;=DATE(2025,3,31)), U154/DDashboard!$C$4, AND(B154&gt;=DATE(2025,4,1), B154&lt;=DATE(2025,4,30)), U154/DDashboard!$C$5,AND(B154&gt;=DATE(2025,5,1), B154&lt;=DATE(2025,5,31)), U154/DDashboard!$C$6,AND(B154&gt;=DATE(2025,6,1), B154&lt;=DATE(2025,6,30)), U154/DDashboard!$C$7,AND(B154&gt;=DATE(2025,7,1), B154&lt;=DATE(2025,7,31)), U154/DDashboard!$C$8,AND(B154&gt;=DATE(2025,8,1), B154&lt;=DATE(2025,8,31)), U154/DDashboard!$C$9,AND(B154&gt;=DATE(2025,9,1), B154&lt;=DATE(2025,9,30)), U154/DDashboard!$C$10,AND(B154&gt;=DATE(2025,10,1), B154&lt;=DATE(2025,10,31)), U154/DDashboard!$C$11,AND(B154&gt;=DATE(2025,11,1), B154&lt;=DATE(2025,11,30)), U154/DDashboard!$C$12, AND(B154&gt;=DATE(2025,12,1), B154&lt;=DATE(2025,12,31)), U154/DDashboard!$C$13, True, "")
</f>
        <v/>
      </c>
      <c r="W154" s="201" t="str">
        <f t="shared" si="3"/>
        <v/>
      </c>
      <c r="X154" s="202"/>
      <c r="Y154" s="203"/>
      <c r="Z154" s="391"/>
      <c r="AA154" s="198"/>
      <c r="AB154" s="222"/>
      <c r="AC154" s="223"/>
      <c r="AD154" s="195"/>
      <c r="AE154" s="222"/>
      <c r="AF154" s="223"/>
      <c r="AG154" s="206" t="str">
        <f t="shared" si="4"/>
        <v/>
      </c>
      <c r="AH154" s="385" t="str">
        <f t="shared" si="5"/>
        <v/>
      </c>
      <c r="AI154" s="207" t="str">
        <f t="shared" si="24"/>
        <v/>
      </c>
      <c r="AJ154" s="367" t="str">
        <f t="shared" si="7"/>
        <v/>
      </c>
      <c r="AK154" s="208" t="str">
        <f t="shared" si="25"/>
        <v/>
      </c>
      <c r="AL154" s="207" t="str">
        <f t="shared" si="22"/>
        <v/>
      </c>
      <c r="AM154" s="209" t="str">
        <f>IF(AN154="", "", IF(AN154="Closed", 
    IF(ISNUMBER(AF154), AF154-B154,
        IF(ISNUMBER(AC154), AC154-B154,
            IF(ISNUMBER(Z154), Z154-B154, "")
        )
    ), 
    TODAY()-B154))</f>
        <v/>
      </c>
      <c r="AN154" s="386" t="str">
        <f t="shared" si="11"/>
        <v/>
      </c>
      <c r="AO154" s="366" t="str">
        <f t="shared" si="12"/>
        <v/>
      </c>
      <c r="AP154" s="210" t="str">
        <f t="shared" si="13"/>
        <v/>
      </c>
      <c r="AQ154" s="196" t="str">
        <f t="shared" si="26"/>
        <v/>
      </c>
      <c r="AR154" s="168" t="str">
        <f>IFS(AND(B154&gt;=DATE(2025,1,1), B154&lt;=DATE(2025,1,31)), AQ154/DDashboard!$C$2, AND(B154&gt;=DATE(2025,2,1), B154&lt;=DATE(2025,2,28)), AQ154/DDashboard!$C$3, AND(B154&gt;=DATE(2025,3,1), B154&lt;=DATE(2025,3,31)), AQ154/DDashboard!$C$4, AND(B154&gt;=DATE(2025,4,1), B154&lt;=DATE(2025,4,30)), AQ154/DDashboard!$C$5,AND(B154&gt;=DATE(2025,5,1), B154&lt;=DATE(2025,5,31)), AQ154/DDashboard!$C$6,AND(B154&gt;=DATE(2025,6,1), B154&lt;=DATE(2025,6,30)), AQ154/DDashboard!$C$7,AND(B154&gt;=DATE(2025,7,1), B154&lt;=DATE(2025,7,31)), AQ154/DDashboard!$C$8,AND(B154&gt;=DATE(2025,8,1), B154&lt;=DATE(2025,8,31)), AQ154/DDashboard!$C$9,AND(B154&gt;=DATE(2025,9,1), B154&lt;=DATE(2025,9,30)), AQ154/DDashboard!$C$10,AND(B154&gt;=DATE(2025,10,1), B154&lt;=DATE(2025,10,31)), AQ154/DDashboard!$C$11,AND(B154&gt;=DATE(2025,11,1), B154&lt;=DATE(2025,11,30)), AQ154/DDashboard!$C$12, AND(B154&gt;=DATE(2025,12,1), B154&lt;=DATE(2025,12,31)), AQ154/DDashboard!$C$13, True, "")
</f>
        <v/>
      </c>
      <c r="AS154" s="200" t="str">
        <f t="array" ref="AS154">IF(ISBLANK(C154), "", SUM($AR$9:AR154)
)</f>
        <v/>
      </c>
      <c r="AT154" s="169" t="b">
        <v>0</v>
      </c>
      <c r="AU154" s="169"/>
      <c r="AV154" s="169"/>
      <c r="AW154" s="169"/>
      <c r="AX154" s="387"/>
    </row>
    <row r="155">
      <c r="A155" s="389">
        <v>154.0</v>
      </c>
      <c r="B155" s="138"/>
      <c r="C155" s="139"/>
      <c r="D155" s="401"/>
      <c r="E155" s="141"/>
      <c r="F155" s="142"/>
      <c r="G155" s="398" t="str">
        <f t="shared" si="1"/>
        <v/>
      </c>
      <c r="H155" s="144"/>
      <c r="I155" s="399"/>
      <c r="J155" s="141"/>
      <c r="K155" s="145" t="str">
        <f>IFERROR(__xludf.DUMMYFUNCTION("IF(ISBLANK(C155), """", GOOGLEFINANCE(""NSE:"" &amp; C155,""price""))"),"")</f>
        <v/>
      </c>
      <c r="L155" s="322"/>
      <c r="M155" s="323"/>
      <c r="N155" s="148"/>
      <c r="O155" s="149"/>
      <c r="P155" s="150"/>
      <c r="Q155" s="377"/>
      <c r="R155" s="152"/>
      <c r="S155" s="150"/>
      <c r="T155" s="377"/>
      <c r="U155" s="153" t="str">
        <f t="shared" si="23"/>
        <v/>
      </c>
      <c r="V155" s="154" t="str">
        <f>IFS(AND(B155&gt;=DATE(2025,1,1), B155&lt;=DATE(2025,1,31)), U155/DDashboard!$C$2, AND(B155&gt;=DATE(2025,2,1), B155&lt;=DATE(2025,2,28)), U155/DDashboard!$C$3, AND(B155&gt;=DATE(2025,3,1), B155&lt;=DATE(2025,3,31)), U155/DDashboard!$C$4, AND(B155&gt;=DATE(2025,4,1), B155&lt;=DATE(2025,4,30)), U155/DDashboard!$C$5,AND(B155&gt;=DATE(2025,5,1), B155&lt;=DATE(2025,5,31)), U155/DDashboard!$C$6,AND(B155&gt;=DATE(2025,6,1), B155&lt;=DATE(2025,6,30)), U155/DDashboard!$C$7,AND(B155&gt;=DATE(2025,7,1), B155&lt;=DATE(2025,7,31)), U155/DDashboard!$C$8,AND(B155&gt;=DATE(2025,8,1), B155&lt;=DATE(2025,8,31)), U155/DDashboard!$C$9,AND(B155&gt;=DATE(2025,9,1), B155&lt;=DATE(2025,9,30)), U155/DDashboard!$C$10,AND(B155&gt;=DATE(2025,10,1), B155&lt;=DATE(2025,10,31)), U155/DDashboard!$C$11,AND(B155&gt;=DATE(2025,11,1), B155&lt;=DATE(2025,11,30)), U155/DDashboard!$C$12, AND(B155&gt;=DATE(2025,12,1), B155&lt;=DATE(2025,12,31)), U155/DDashboard!$C$13, True, "")
</f>
        <v/>
      </c>
      <c r="W155" s="65" t="str">
        <f t="shared" si="3"/>
        <v/>
      </c>
      <c r="X155" s="407"/>
      <c r="Y155" s="408"/>
      <c r="Z155" s="392"/>
      <c r="AA155" s="390"/>
      <c r="AB155" s="359"/>
      <c r="AC155" s="360"/>
      <c r="AD155" s="358"/>
      <c r="AE155" s="359"/>
      <c r="AF155" s="360"/>
      <c r="AG155" s="160" t="str">
        <f t="shared" si="4"/>
        <v/>
      </c>
      <c r="AH155" s="393" t="str">
        <f t="shared" si="5"/>
        <v/>
      </c>
      <c r="AI155" s="161" t="str">
        <f t="shared" si="24"/>
        <v/>
      </c>
      <c r="AJ155" s="365" t="str">
        <f t="shared" si="7"/>
        <v/>
      </c>
      <c r="AK155" s="162" t="str">
        <f t="shared" si="25"/>
        <v/>
      </c>
      <c r="AL155" s="161" t="str">
        <f t="shared" si="22"/>
        <v/>
      </c>
      <c r="AM155" s="163" t="str">
        <f>IF(AN155="", "", IF(AN155="Closed", IF(ISNUMBER(AF155), AF155-B155,IF(ISNUMBER(AC155), AC155-B155,IF(ISNUMBER(Z155), Z155-B155, ""))), TODAY()-B155))
</f>
        <v/>
      </c>
      <c r="AN155" s="381" t="str">
        <f t="shared" si="11"/>
        <v/>
      </c>
      <c r="AO155" s="366" t="str">
        <f t="shared" si="12"/>
        <v/>
      </c>
      <c r="AP155" s="166" t="str">
        <f t="shared" si="13"/>
        <v/>
      </c>
      <c r="AQ155" s="167" t="str">
        <f t="shared" si="26"/>
        <v/>
      </c>
      <c r="AR155" s="168" t="str">
        <f>IFS(AND(B155&gt;=DATE(2025,1,1), B155&lt;=DATE(2025,1,31)), AQ155/DDashboard!$C$2, AND(B155&gt;=DATE(2025,2,1), B155&lt;=DATE(2025,2,28)), AQ155/DDashboard!$C$3, AND(B155&gt;=DATE(2025,3,1), B155&lt;=DATE(2025,3,31)), AQ155/DDashboard!$C$4, AND(B155&gt;=DATE(2025,4,1), B155&lt;=DATE(2025,4,30)), AQ155/DDashboard!$C$5,AND(B155&gt;=DATE(2025,5,1), B155&lt;=DATE(2025,5,31)), AQ155/DDashboard!$C$6,AND(B155&gt;=DATE(2025,6,1), B155&lt;=DATE(2025,6,30)), AQ155/DDashboard!$C$7,AND(B155&gt;=DATE(2025,7,1), B155&lt;=DATE(2025,7,31)), AQ155/DDashboard!$C$8,AND(B155&gt;=DATE(2025,8,1), B155&lt;=DATE(2025,8,31)), AQ155/DDashboard!$C$9,AND(B155&gt;=DATE(2025,9,1), B155&lt;=DATE(2025,9,30)), AQ155/DDashboard!$C$10,AND(B155&gt;=DATE(2025,10,1), B155&lt;=DATE(2025,10,31)), AQ155/DDashboard!$C$11,AND(B155&gt;=DATE(2025,11,1), B155&lt;=DATE(2025,11,30)), AQ155/DDashboard!$C$12, AND(B155&gt;=DATE(2025,12,1), B155&lt;=DATE(2025,12,31)), AQ155/DDashboard!$C$13, True, "")
</f>
        <v/>
      </c>
      <c r="AS155" s="200" t="str">
        <f t="array" ref="AS155">IF(ISBLANK(C155), "", SUM($AR$9:AR155)
)</f>
        <v/>
      </c>
      <c r="AT155" s="169" t="b">
        <v>0</v>
      </c>
      <c r="AU155" s="169"/>
      <c r="AV155" s="169"/>
      <c r="AW155" s="169"/>
      <c r="AX155" s="383"/>
    </row>
    <row r="156">
      <c r="A156" s="388">
        <v>155.0</v>
      </c>
      <c r="B156" s="184"/>
      <c r="C156" s="185"/>
      <c r="D156" s="404"/>
      <c r="E156" s="404"/>
      <c r="F156" s="188"/>
      <c r="G156" s="397" t="str">
        <f t="shared" si="1"/>
        <v/>
      </c>
      <c r="H156" s="190"/>
      <c r="I156" s="402"/>
      <c r="J156" s="187"/>
      <c r="K156" s="145" t="str">
        <f>IFERROR(__xludf.DUMMYFUNCTION("IF(ISBLANK(C156), """", GOOGLEFINANCE(""NSE:"" &amp; C156,""price""))"),"")</f>
        <v/>
      </c>
      <c r="L156" s="213"/>
      <c r="M156" s="193"/>
      <c r="N156" s="194"/>
      <c r="O156" s="195"/>
      <c r="P156" s="196"/>
      <c r="Q156" s="376"/>
      <c r="R156" s="198"/>
      <c r="S156" s="196"/>
      <c r="T156" s="376"/>
      <c r="U156" s="199" t="str">
        <f t="shared" si="23"/>
        <v/>
      </c>
      <c r="V156" s="200" t="str">
        <f>IFS(AND(B156&gt;=DATE(2025,1,1), B156&lt;=DATE(2025,1,31)), U156/DDashboard!$C$2, AND(B156&gt;=DATE(2025,2,1), B156&lt;=DATE(2025,2,28)), U156/DDashboard!$C$3, AND(B156&gt;=DATE(2025,3,1), B156&lt;=DATE(2025,3,31)), U156/DDashboard!$C$4, AND(B156&gt;=DATE(2025,4,1), B156&lt;=DATE(2025,4,30)), U156/DDashboard!$C$5,AND(B156&gt;=DATE(2025,5,1), B156&lt;=DATE(2025,5,31)), U156/DDashboard!$C$6,AND(B156&gt;=DATE(2025,6,1), B156&lt;=DATE(2025,6,30)), U156/DDashboard!$C$7,AND(B156&gt;=DATE(2025,7,1), B156&lt;=DATE(2025,7,31)), U156/DDashboard!$C$8,AND(B156&gt;=DATE(2025,8,1), B156&lt;=DATE(2025,8,31)), U156/DDashboard!$C$9,AND(B156&gt;=DATE(2025,9,1), B156&lt;=DATE(2025,9,30)), U156/DDashboard!$C$10,AND(B156&gt;=DATE(2025,10,1), B156&lt;=DATE(2025,10,31)), U156/DDashboard!$C$11,AND(B156&gt;=DATE(2025,11,1), B156&lt;=DATE(2025,11,30)), U156/DDashboard!$C$12, AND(B156&gt;=DATE(2025,12,1), B156&lt;=DATE(2025,12,31)), U156/DDashboard!$C$13, True, "")
</f>
        <v/>
      </c>
      <c r="W156" s="201" t="str">
        <f t="shared" si="3"/>
        <v/>
      </c>
      <c r="X156" s="202"/>
      <c r="Y156" s="203"/>
      <c r="Z156" s="391"/>
      <c r="AA156" s="198"/>
      <c r="AB156" s="222"/>
      <c r="AC156" s="223"/>
      <c r="AD156" s="195"/>
      <c r="AE156" s="222"/>
      <c r="AF156" s="223"/>
      <c r="AG156" s="206" t="str">
        <f t="shared" si="4"/>
        <v/>
      </c>
      <c r="AH156" s="385" t="str">
        <f t="shared" si="5"/>
        <v/>
      </c>
      <c r="AI156" s="207" t="str">
        <f t="shared" si="24"/>
        <v/>
      </c>
      <c r="AJ156" s="367" t="str">
        <f t="shared" si="7"/>
        <v/>
      </c>
      <c r="AK156" s="208" t="str">
        <f t="shared" si="25"/>
        <v/>
      </c>
      <c r="AL156" s="207" t="str">
        <f t="shared" si="22"/>
        <v/>
      </c>
      <c r="AM156" s="209" t="str">
        <f>IF(AN156="", "", IF(AN156="Closed", 
    IF(ISNUMBER(AF156), AF156-B156,
        IF(ISNUMBER(AC156), AC156-B156,
            IF(ISNUMBER(Z156), Z156-B156, "")
        )
    ), 
    TODAY()-B156))</f>
        <v/>
      </c>
      <c r="AN156" s="386" t="str">
        <f t="shared" si="11"/>
        <v/>
      </c>
      <c r="AO156" s="366" t="str">
        <f t="shared" si="12"/>
        <v/>
      </c>
      <c r="AP156" s="210" t="str">
        <f t="shared" si="13"/>
        <v/>
      </c>
      <c r="AQ156" s="196" t="str">
        <f t="shared" si="26"/>
        <v/>
      </c>
      <c r="AR156" s="168" t="str">
        <f>IFS(AND(B156&gt;=DATE(2025,1,1), B156&lt;=DATE(2025,1,31)), AQ156/DDashboard!$C$2, AND(B156&gt;=DATE(2025,2,1), B156&lt;=DATE(2025,2,28)), AQ156/DDashboard!$C$3, AND(B156&gt;=DATE(2025,3,1), B156&lt;=DATE(2025,3,31)), AQ156/DDashboard!$C$4, AND(B156&gt;=DATE(2025,4,1), B156&lt;=DATE(2025,4,30)), AQ156/DDashboard!$C$5,AND(B156&gt;=DATE(2025,5,1), B156&lt;=DATE(2025,5,31)), AQ156/DDashboard!$C$6,AND(B156&gt;=DATE(2025,6,1), B156&lt;=DATE(2025,6,30)), AQ156/DDashboard!$C$7,AND(B156&gt;=DATE(2025,7,1), B156&lt;=DATE(2025,7,31)), AQ156/DDashboard!$C$8,AND(B156&gt;=DATE(2025,8,1), B156&lt;=DATE(2025,8,31)), AQ156/DDashboard!$C$9,AND(B156&gt;=DATE(2025,9,1), B156&lt;=DATE(2025,9,30)), AQ156/DDashboard!$C$10,AND(B156&gt;=DATE(2025,10,1), B156&lt;=DATE(2025,10,31)), AQ156/DDashboard!$C$11,AND(B156&gt;=DATE(2025,11,1), B156&lt;=DATE(2025,11,30)), AQ156/DDashboard!$C$12, AND(B156&gt;=DATE(2025,12,1), B156&lt;=DATE(2025,12,31)), AQ156/DDashboard!$C$13, True, "")
</f>
        <v/>
      </c>
      <c r="AS156" s="200" t="str">
        <f t="array" ref="AS156">IF(ISBLANK(C156), "", SUM($AR$9:AR156)
)</f>
        <v/>
      </c>
      <c r="AT156" s="169" t="b">
        <v>0</v>
      </c>
      <c r="AU156" s="169"/>
      <c r="AV156" s="169"/>
      <c r="AW156" s="169"/>
      <c r="AX156" s="387"/>
    </row>
    <row r="157">
      <c r="A157" s="389">
        <v>156.0</v>
      </c>
      <c r="B157" s="138"/>
      <c r="C157" s="139"/>
      <c r="D157" s="403"/>
      <c r="E157" s="403"/>
      <c r="F157" s="142"/>
      <c r="G157" s="398" t="str">
        <f t="shared" si="1"/>
        <v/>
      </c>
      <c r="H157" s="144"/>
      <c r="I157" s="144"/>
      <c r="J157" s="141"/>
      <c r="K157" s="145" t="str">
        <f>IFERROR(__xludf.DUMMYFUNCTION("IF(ISBLANK(C157), """", GOOGLEFINANCE(""NSE:"" &amp; C157,""price""))"),"")</f>
        <v/>
      </c>
      <c r="L157" s="146"/>
      <c r="M157" s="147"/>
      <c r="N157" s="148"/>
      <c r="O157" s="149"/>
      <c r="P157" s="150"/>
      <c r="Q157" s="377"/>
      <c r="R157" s="152"/>
      <c r="S157" s="150"/>
      <c r="T157" s="377"/>
      <c r="U157" s="153" t="str">
        <f t="shared" si="23"/>
        <v/>
      </c>
      <c r="V157" s="154" t="str">
        <f>IFS(AND(B157&gt;=DATE(2025,1,1), B157&lt;=DATE(2025,1,31)), U157/DDashboard!$C$2, AND(B157&gt;=DATE(2025,2,1), B157&lt;=DATE(2025,2,28)), U157/DDashboard!$C$3, AND(B157&gt;=DATE(2025,3,1), B157&lt;=DATE(2025,3,31)), U157/DDashboard!$C$4, AND(B157&gt;=DATE(2025,4,1), B157&lt;=DATE(2025,4,30)), U157/DDashboard!$C$5,AND(B157&gt;=DATE(2025,5,1), B157&lt;=DATE(2025,5,31)), U157/DDashboard!$C$6,AND(B157&gt;=DATE(2025,6,1), B157&lt;=DATE(2025,6,30)), U157/DDashboard!$C$7,AND(B157&gt;=DATE(2025,7,1), B157&lt;=DATE(2025,7,31)), U157/DDashboard!$C$8,AND(B157&gt;=DATE(2025,8,1), B157&lt;=DATE(2025,8,31)), U157/DDashboard!$C$9,AND(B157&gt;=DATE(2025,9,1), B157&lt;=DATE(2025,9,30)), U157/DDashboard!$C$10,AND(B157&gt;=DATE(2025,10,1), B157&lt;=DATE(2025,10,31)), U157/DDashboard!$C$11,AND(B157&gt;=DATE(2025,11,1), B157&lt;=DATE(2025,11,30)), U157/DDashboard!$C$12, AND(B157&gt;=DATE(2025,12,1), B157&lt;=DATE(2025,12,31)), U157/DDashboard!$C$13, True, "")
</f>
        <v/>
      </c>
      <c r="W157" s="65" t="str">
        <f t="shared" si="3"/>
        <v/>
      </c>
      <c r="X157" s="155"/>
      <c r="Y157" s="156"/>
      <c r="Z157" s="392"/>
      <c r="AA157" s="155"/>
      <c r="AB157" s="156"/>
      <c r="AC157" s="375"/>
      <c r="AD157" s="159"/>
      <c r="AE157" s="156"/>
      <c r="AF157" s="392"/>
      <c r="AG157" s="160" t="str">
        <f t="shared" si="4"/>
        <v/>
      </c>
      <c r="AH157" s="393" t="str">
        <f t="shared" si="5"/>
        <v/>
      </c>
      <c r="AI157" s="161" t="str">
        <f t="shared" si="24"/>
        <v/>
      </c>
      <c r="AJ157" s="365" t="str">
        <f t="shared" si="7"/>
        <v/>
      </c>
      <c r="AK157" s="162" t="str">
        <f t="shared" si="25"/>
        <v/>
      </c>
      <c r="AL157" s="161" t="str">
        <f t="shared" si="22"/>
        <v/>
      </c>
      <c r="AM157" s="163" t="str">
        <f>IF(AN157="", "", IF(AN157="Closed", IF(ISNUMBER(AF157), AF157-B157,IF(ISNUMBER(AC157), AC157-B157,IF(ISNUMBER(Z157), Z157-B157, ""))), TODAY()-B157))
</f>
        <v/>
      </c>
      <c r="AN157" s="381" t="str">
        <f t="shared" si="11"/>
        <v/>
      </c>
      <c r="AO157" s="366" t="str">
        <f t="shared" si="12"/>
        <v/>
      </c>
      <c r="AP157" s="166" t="str">
        <f t="shared" si="13"/>
        <v/>
      </c>
      <c r="AQ157" s="167" t="str">
        <f t="shared" si="26"/>
        <v/>
      </c>
      <c r="AR157" s="168" t="str">
        <f>IFS(AND(B157&gt;=DATE(2025,1,1), B157&lt;=DATE(2025,1,31)), AQ157/DDashboard!$C$2, AND(B157&gt;=DATE(2025,2,1), B157&lt;=DATE(2025,2,28)), AQ157/DDashboard!$C$3, AND(B157&gt;=DATE(2025,3,1), B157&lt;=DATE(2025,3,31)), AQ157/DDashboard!$C$4, AND(B157&gt;=DATE(2025,4,1), B157&lt;=DATE(2025,4,30)), AQ157/DDashboard!$C$5,AND(B157&gt;=DATE(2025,5,1), B157&lt;=DATE(2025,5,31)), AQ157/DDashboard!$C$6,AND(B157&gt;=DATE(2025,6,1), B157&lt;=DATE(2025,6,30)), AQ157/DDashboard!$C$7,AND(B157&gt;=DATE(2025,7,1), B157&lt;=DATE(2025,7,31)), AQ157/DDashboard!$C$8,AND(B157&gt;=DATE(2025,8,1), B157&lt;=DATE(2025,8,31)), AQ157/DDashboard!$C$9,AND(B157&gt;=DATE(2025,9,1), B157&lt;=DATE(2025,9,30)), AQ157/DDashboard!$C$10,AND(B157&gt;=DATE(2025,10,1), B157&lt;=DATE(2025,10,31)), AQ157/DDashboard!$C$11,AND(B157&gt;=DATE(2025,11,1), B157&lt;=DATE(2025,11,30)), AQ157/DDashboard!$C$12, AND(B157&gt;=DATE(2025,12,1), B157&lt;=DATE(2025,12,31)), AQ157/DDashboard!$C$13, True, "")
</f>
        <v/>
      </c>
      <c r="AS157" s="200" t="str">
        <f t="array" ref="AS157">IF(ISBLANK(C157), "", SUM($AR$9:AR157)
)</f>
        <v/>
      </c>
      <c r="AT157" s="169" t="b">
        <v>0</v>
      </c>
      <c r="AU157" s="169"/>
      <c r="AV157" s="169"/>
      <c r="AW157" s="169"/>
      <c r="AX157" s="183"/>
    </row>
    <row r="158">
      <c r="A158" s="388">
        <v>157.0</v>
      </c>
      <c r="B158" s="184"/>
      <c r="C158" s="185"/>
      <c r="D158" s="404"/>
      <c r="E158" s="404"/>
      <c r="F158" s="188"/>
      <c r="G158" s="397" t="str">
        <f t="shared" si="1"/>
        <v/>
      </c>
      <c r="H158" s="190"/>
      <c r="I158" s="402"/>
      <c r="J158" s="187"/>
      <c r="K158" s="145" t="str">
        <f>IFERROR(__xludf.DUMMYFUNCTION("IF(ISBLANK(C158), """", GOOGLEFINANCE(""NSE:"" &amp; C158,""price""))"),"")</f>
        <v/>
      </c>
      <c r="L158" s="213"/>
      <c r="M158" s="193"/>
      <c r="N158" s="194"/>
      <c r="O158" s="195"/>
      <c r="P158" s="196"/>
      <c r="Q158" s="376"/>
      <c r="R158" s="198"/>
      <c r="S158" s="196"/>
      <c r="T158" s="376"/>
      <c r="U158" s="199" t="str">
        <f t="shared" si="23"/>
        <v/>
      </c>
      <c r="V158" s="200" t="str">
        <f>IFS(AND(B158&gt;=DATE(2025,1,1), B158&lt;=DATE(2025,1,31)), U158/DDashboard!$C$2, AND(B158&gt;=DATE(2025,2,1), B158&lt;=DATE(2025,2,28)), U158/DDashboard!$C$3, AND(B158&gt;=DATE(2025,3,1), B158&lt;=DATE(2025,3,31)), U158/DDashboard!$C$4, AND(B158&gt;=DATE(2025,4,1), B158&lt;=DATE(2025,4,30)), U158/DDashboard!$C$5,AND(B158&gt;=DATE(2025,5,1), B158&lt;=DATE(2025,5,31)), U158/DDashboard!$C$6,AND(B158&gt;=DATE(2025,6,1), B158&lt;=DATE(2025,6,30)), U158/DDashboard!$C$7,AND(B158&gt;=DATE(2025,7,1), B158&lt;=DATE(2025,7,31)), U158/DDashboard!$C$8,AND(B158&gt;=DATE(2025,8,1), B158&lt;=DATE(2025,8,31)), U158/DDashboard!$C$9,AND(B158&gt;=DATE(2025,9,1), B158&lt;=DATE(2025,9,30)), U158/DDashboard!$C$10,AND(B158&gt;=DATE(2025,10,1), B158&lt;=DATE(2025,10,31)), U158/DDashboard!$C$11,AND(B158&gt;=DATE(2025,11,1), B158&lt;=DATE(2025,11,30)), U158/DDashboard!$C$12, AND(B158&gt;=DATE(2025,12,1), B158&lt;=DATE(2025,12,31)), U158/DDashboard!$C$13, True, "")
</f>
        <v/>
      </c>
      <c r="W158" s="201" t="str">
        <f t="shared" si="3"/>
        <v/>
      </c>
      <c r="X158" s="202"/>
      <c r="Y158" s="203"/>
      <c r="Z158" s="391"/>
      <c r="AA158" s="198"/>
      <c r="AB158" s="222"/>
      <c r="AC158" s="223"/>
      <c r="AD158" s="195"/>
      <c r="AE158" s="222"/>
      <c r="AF158" s="223"/>
      <c r="AG158" s="206" t="str">
        <f t="shared" si="4"/>
        <v/>
      </c>
      <c r="AH158" s="385" t="str">
        <f t="shared" si="5"/>
        <v/>
      </c>
      <c r="AI158" s="207" t="str">
        <f t="shared" si="24"/>
        <v/>
      </c>
      <c r="AJ158" s="367" t="str">
        <f t="shared" si="7"/>
        <v/>
      </c>
      <c r="AK158" s="208" t="str">
        <f t="shared" si="25"/>
        <v/>
      </c>
      <c r="AL158" s="207" t="str">
        <f t="shared" si="22"/>
        <v/>
      </c>
      <c r="AM158" s="209" t="str">
        <f>IF(AN158="", "", IF(AN158="Closed", 
    IF(ISNUMBER(AF158), AF158-B158,
        IF(ISNUMBER(AC158), AC158-B158,
            IF(ISNUMBER(Z158), Z158-B158, "")
        )
    ), 
    TODAY()-B158))</f>
        <v/>
      </c>
      <c r="AN158" s="386" t="str">
        <f t="shared" si="11"/>
        <v/>
      </c>
      <c r="AO158" s="366" t="str">
        <f t="shared" si="12"/>
        <v/>
      </c>
      <c r="AP158" s="210" t="str">
        <f t="shared" si="13"/>
        <v/>
      </c>
      <c r="AQ158" s="196" t="str">
        <f t="shared" si="26"/>
        <v/>
      </c>
      <c r="AR158" s="168" t="str">
        <f>IFS(AND(B158&gt;=DATE(2025,1,1), B158&lt;=DATE(2025,1,31)), AQ158/DDashboard!$C$2, AND(B158&gt;=DATE(2025,2,1), B158&lt;=DATE(2025,2,28)), AQ158/DDashboard!$C$3, AND(B158&gt;=DATE(2025,3,1), B158&lt;=DATE(2025,3,31)), AQ158/DDashboard!$C$4, AND(B158&gt;=DATE(2025,4,1), B158&lt;=DATE(2025,4,30)), AQ158/DDashboard!$C$5,AND(B158&gt;=DATE(2025,5,1), B158&lt;=DATE(2025,5,31)), AQ158/DDashboard!$C$6,AND(B158&gt;=DATE(2025,6,1), B158&lt;=DATE(2025,6,30)), AQ158/DDashboard!$C$7,AND(B158&gt;=DATE(2025,7,1), B158&lt;=DATE(2025,7,31)), AQ158/DDashboard!$C$8,AND(B158&gt;=DATE(2025,8,1), B158&lt;=DATE(2025,8,31)), AQ158/DDashboard!$C$9,AND(B158&gt;=DATE(2025,9,1), B158&lt;=DATE(2025,9,30)), AQ158/DDashboard!$C$10,AND(B158&gt;=DATE(2025,10,1), B158&lt;=DATE(2025,10,31)), AQ158/DDashboard!$C$11,AND(B158&gt;=DATE(2025,11,1), B158&lt;=DATE(2025,11,30)), AQ158/DDashboard!$C$12, AND(B158&gt;=DATE(2025,12,1), B158&lt;=DATE(2025,12,31)), AQ158/DDashboard!$C$13, True, "")
</f>
        <v/>
      </c>
      <c r="AS158" s="200" t="str">
        <f t="array" ref="AS158">IF(ISBLANK(C158), "", SUM($AR$9:AR158)
)</f>
        <v/>
      </c>
      <c r="AT158" s="169" t="b">
        <v>0</v>
      </c>
      <c r="AU158" s="169"/>
      <c r="AV158" s="169"/>
      <c r="AW158" s="169"/>
      <c r="AX158" s="32"/>
    </row>
    <row r="159">
      <c r="A159" s="389">
        <v>158.0</v>
      </c>
      <c r="B159" s="138"/>
      <c r="C159" s="139"/>
      <c r="D159" s="401"/>
      <c r="E159" s="141"/>
      <c r="F159" s="142"/>
      <c r="G159" s="398" t="str">
        <f t="shared" si="1"/>
        <v/>
      </c>
      <c r="H159" s="399"/>
      <c r="I159" s="399"/>
      <c r="J159" s="141"/>
      <c r="K159" s="145" t="str">
        <f>IFERROR(__xludf.DUMMYFUNCTION("IF(ISBLANK(C159), """", GOOGLEFINANCE(""NSE:"" &amp; C159,""price""))"),"")</f>
        <v/>
      </c>
      <c r="L159" s="146"/>
      <c r="M159" s="147"/>
      <c r="N159" s="148"/>
      <c r="O159" s="149"/>
      <c r="P159" s="150"/>
      <c r="Q159" s="377"/>
      <c r="R159" s="152"/>
      <c r="S159" s="150"/>
      <c r="T159" s="377"/>
      <c r="U159" s="153" t="str">
        <f t="shared" si="23"/>
        <v/>
      </c>
      <c r="V159" s="154" t="str">
        <f>IFS(AND(B159&gt;=DATE(2025,1,1), B159&lt;=DATE(2025,1,31)), U159/DDashboard!$C$2, AND(B159&gt;=DATE(2025,2,1), B159&lt;=DATE(2025,2,28)), U159/DDashboard!$C$3, AND(B159&gt;=DATE(2025,3,1), B159&lt;=DATE(2025,3,31)), U159/DDashboard!$C$4, AND(B159&gt;=DATE(2025,4,1), B159&lt;=DATE(2025,4,30)), U159/DDashboard!$C$5,AND(B159&gt;=DATE(2025,5,1), B159&lt;=DATE(2025,5,31)), U159/DDashboard!$C$6,AND(B159&gt;=DATE(2025,6,1), B159&lt;=DATE(2025,6,30)), U159/DDashboard!$C$7,AND(B159&gt;=DATE(2025,7,1), B159&lt;=DATE(2025,7,31)), U159/DDashboard!$C$8,AND(B159&gt;=DATE(2025,8,1), B159&lt;=DATE(2025,8,31)), U159/DDashboard!$C$9,AND(B159&gt;=DATE(2025,9,1), B159&lt;=DATE(2025,9,30)), U159/DDashboard!$C$10,AND(B159&gt;=DATE(2025,10,1), B159&lt;=DATE(2025,10,31)), U159/DDashboard!$C$11,AND(B159&gt;=DATE(2025,11,1), B159&lt;=DATE(2025,11,30)), U159/DDashboard!$C$12, AND(B159&gt;=DATE(2025,12,1), B159&lt;=DATE(2025,12,31)), U159/DDashboard!$C$13, True, "")
</f>
        <v/>
      </c>
      <c r="W159" s="65" t="str">
        <f t="shared" si="3"/>
        <v/>
      </c>
      <c r="X159" s="155"/>
      <c r="Y159" s="156"/>
      <c r="Z159" s="392"/>
      <c r="AA159" s="390"/>
      <c r="AB159" s="359"/>
      <c r="AC159" s="360"/>
      <c r="AD159" s="358"/>
      <c r="AE159" s="359"/>
      <c r="AF159" s="360"/>
      <c r="AG159" s="160" t="str">
        <f t="shared" si="4"/>
        <v/>
      </c>
      <c r="AH159" s="393" t="str">
        <f t="shared" si="5"/>
        <v/>
      </c>
      <c r="AI159" s="161" t="str">
        <f t="shared" si="24"/>
        <v/>
      </c>
      <c r="AJ159" s="365" t="str">
        <f t="shared" si="7"/>
        <v/>
      </c>
      <c r="AK159" s="162" t="str">
        <f t="shared" si="25"/>
        <v/>
      </c>
      <c r="AL159" s="161" t="str">
        <f t="shared" si="22"/>
        <v/>
      </c>
      <c r="AM159" s="163" t="str">
        <f>IF(AN159="", "", IF(AN159="Closed", IF(ISNUMBER(AF159), AF159-B159,IF(ISNUMBER(AC159), AC159-B159,IF(ISNUMBER(Z159), Z159-B159, ""))), TODAY()-B159))
</f>
        <v/>
      </c>
      <c r="AN159" s="381" t="str">
        <f t="shared" si="11"/>
        <v/>
      </c>
      <c r="AO159" s="366" t="str">
        <f t="shared" si="12"/>
        <v/>
      </c>
      <c r="AP159" s="166" t="str">
        <f t="shared" si="13"/>
        <v/>
      </c>
      <c r="AQ159" s="167" t="str">
        <f t="shared" si="26"/>
        <v/>
      </c>
      <c r="AR159" s="168" t="str">
        <f>IFS(AND(B159&gt;=DATE(2025,1,1), B159&lt;=DATE(2025,1,31)), AQ159/DDashboard!$C$2, AND(B159&gt;=DATE(2025,2,1), B159&lt;=DATE(2025,2,28)), AQ159/DDashboard!$C$3, AND(B159&gt;=DATE(2025,3,1), B159&lt;=DATE(2025,3,31)), AQ159/DDashboard!$C$4, AND(B159&gt;=DATE(2025,4,1), B159&lt;=DATE(2025,4,30)), AQ159/DDashboard!$C$5,AND(B159&gt;=DATE(2025,5,1), B159&lt;=DATE(2025,5,31)), AQ159/DDashboard!$C$6,AND(B159&gt;=DATE(2025,6,1), B159&lt;=DATE(2025,6,30)), AQ159/DDashboard!$C$7,AND(B159&gt;=DATE(2025,7,1), B159&lt;=DATE(2025,7,31)), AQ159/DDashboard!$C$8,AND(B159&gt;=DATE(2025,8,1), B159&lt;=DATE(2025,8,31)), AQ159/DDashboard!$C$9,AND(B159&gt;=DATE(2025,9,1), B159&lt;=DATE(2025,9,30)), AQ159/DDashboard!$C$10,AND(B159&gt;=DATE(2025,10,1), B159&lt;=DATE(2025,10,31)), AQ159/DDashboard!$C$11,AND(B159&gt;=DATE(2025,11,1), B159&lt;=DATE(2025,11,30)), AQ159/DDashboard!$C$12, AND(B159&gt;=DATE(2025,12,1), B159&lt;=DATE(2025,12,31)), AQ159/DDashboard!$C$13, True, "")
</f>
        <v/>
      </c>
      <c r="AS159" s="200" t="str">
        <f t="array" ref="AS159">IF(ISBLANK(C159), "", SUM($AR$9:AR159)
)</f>
        <v/>
      </c>
      <c r="AT159" s="169" t="b">
        <v>0</v>
      </c>
      <c r="AU159" s="169"/>
      <c r="AV159" s="169"/>
      <c r="AW159" s="169"/>
      <c r="AX159" s="183"/>
    </row>
    <row r="160">
      <c r="A160" s="388">
        <v>159.0</v>
      </c>
      <c r="B160" s="184"/>
      <c r="C160" s="185"/>
      <c r="D160" s="400"/>
      <c r="E160" s="187"/>
      <c r="F160" s="188"/>
      <c r="G160" s="397" t="str">
        <f t="shared" si="1"/>
        <v/>
      </c>
      <c r="H160" s="402"/>
      <c r="I160" s="402"/>
      <c r="J160" s="187"/>
      <c r="K160" s="145" t="str">
        <f>IFERROR(__xludf.DUMMYFUNCTION("IF(ISBLANK(C160), """", GOOGLEFINANCE(""NSE:"" &amp; C160,""price""))"),"")</f>
        <v/>
      </c>
      <c r="L160" s="213"/>
      <c r="M160" s="193"/>
      <c r="N160" s="194"/>
      <c r="O160" s="195"/>
      <c r="P160" s="196"/>
      <c r="Q160" s="376"/>
      <c r="R160" s="198"/>
      <c r="S160" s="196"/>
      <c r="T160" s="376"/>
      <c r="U160" s="199" t="str">
        <f t="shared" si="23"/>
        <v/>
      </c>
      <c r="V160" s="200" t="str">
        <f>IFS(AND(B160&gt;=DATE(2025,1,1), B160&lt;=DATE(2025,1,31)), U160/DDashboard!$C$2, AND(B160&gt;=DATE(2025,2,1), B160&lt;=DATE(2025,2,28)), U160/DDashboard!$C$3, AND(B160&gt;=DATE(2025,3,1), B160&lt;=DATE(2025,3,31)), U160/DDashboard!$C$4, AND(B160&gt;=DATE(2025,4,1), B160&lt;=DATE(2025,4,30)), U160/DDashboard!$C$5,AND(B160&gt;=DATE(2025,5,1), B160&lt;=DATE(2025,5,31)), U160/DDashboard!$C$6,AND(B160&gt;=DATE(2025,6,1), B160&lt;=DATE(2025,6,30)), U160/DDashboard!$C$7,AND(B160&gt;=DATE(2025,7,1), B160&lt;=DATE(2025,7,31)), U160/DDashboard!$C$8,AND(B160&gt;=DATE(2025,8,1), B160&lt;=DATE(2025,8,31)), U160/DDashboard!$C$9,AND(B160&gt;=DATE(2025,9,1), B160&lt;=DATE(2025,9,30)), U160/DDashboard!$C$10,AND(B160&gt;=DATE(2025,10,1), B160&lt;=DATE(2025,10,31)), U160/DDashboard!$C$11,AND(B160&gt;=DATE(2025,11,1), B160&lt;=DATE(2025,11,30)), U160/DDashboard!$C$12, AND(B160&gt;=DATE(2025,12,1), B160&lt;=DATE(2025,12,31)), U160/DDashboard!$C$13, True, "")
</f>
        <v/>
      </c>
      <c r="W160" s="201" t="str">
        <f t="shared" si="3"/>
        <v/>
      </c>
      <c r="X160" s="202"/>
      <c r="Y160" s="203"/>
      <c r="Z160" s="391"/>
      <c r="AA160" s="198"/>
      <c r="AB160" s="222"/>
      <c r="AC160" s="223"/>
      <c r="AD160" s="195"/>
      <c r="AE160" s="222"/>
      <c r="AF160" s="223"/>
      <c r="AG160" s="206" t="str">
        <f t="shared" si="4"/>
        <v/>
      </c>
      <c r="AH160" s="385" t="str">
        <f t="shared" si="5"/>
        <v/>
      </c>
      <c r="AI160" s="207" t="str">
        <f t="shared" si="24"/>
        <v/>
      </c>
      <c r="AJ160" s="367" t="str">
        <f t="shared" si="7"/>
        <v/>
      </c>
      <c r="AK160" s="208" t="str">
        <f t="shared" si="25"/>
        <v/>
      </c>
      <c r="AL160" s="207" t="str">
        <f t="shared" si="22"/>
        <v/>
      </c>
      <c r="AM160" s="209" t="str">
        <f>IF(AN160="", "", IF(AN160="Closed", 
    IF(ISNUMBER(AF160), AF160-B160,
        IF(ISNUMBER(AC160), AC160-B160,
            IF(ISNUMBER(Z160), Z160-B160, "")
        )
    ), 
    TODAY()-B160))</f>
        <v/>
      </c>
      <c r="AN160" s="386" t="str">
        <f t="shared" si="11"/>
        <v/>
      </c>
      <c r="AO160" s="366" t="str">
        <f t="shared" si="12"/>
        <v/>
      </c>
      <c r="AP160" s="210" t="str">
        <f t="shared" si="13"/>
        <v/>
      </c>
      <c r="AQ160" s="196" t="str">
        <f t="shared" si="26"/>
        <v/>
      </c>
      <c r="AR160" s="168" t="str">
        <f>IFS(AND(B160&gt;=DATE(2025,1,1), B160&lt;=DATE(2025,1,31)), AQ160/DDashboard!$C$2, AND(B160&gt;=DATE(2025,2,1), B160&lt;=DATE(2025,2,28)), AQ160/DDashboard!$C$3, AND(B160&gt;=DATE(2025,3,1), B160&lt;=DATE(2025,3,31)), AQ160/DDashboard!$C$4, AND(B160&gt;=DATE(2025,4,1), B160&lt;=DATE(2025,4,30)), AQ160/DDashboard!$C$5,AND(B160&gt;=DATE(2025,5,1), B160&lt;=DATE(2025,5,31)), AQ160/DDashboard!$C$6,AND(B160&gt;=DATE(2025,6,1), B160&lt;=DATE(2025,6,30)), AQ160/DDashboard!$C$7,AND(B160&gt;=DATE(2025,7,1), B160&lt;=DATE(2025,7,31)), AQ160/DDashboard!$C$8,AND(B160&gt;=DATE(2025,8,1), B160&lt;=DATE(2025,8,31)), AQ160/DDashboard!$C$9,AND(B160&gt;=DATE(2025,9,1), B160&lt;=DATE(2025,9,30)), AQ160/DDashboard!$C$10,AND(B160&gt;=DATE(2025,10,1), B160&lt;=DATE(2025,10,31)), AQ160/DDashboard!$C$11,AND(B160&gt;=DATE(2025,11,1), B160&lt;=DATE(2025,11,30)), AQ160/DDashboard!$C$12, AND(B160&gt;=DATE(2025,12,1), B160&lt;=DATE(2025,12,31)), AQ160/DDashboard!$C$13, True, "")
</f>
        <v/>
      </c>
      <c r="AS160" s="200" t="str">
        <f t="array" ref="AS160">IF(ISBLANK(C160), "", SUM($AR$9:AR160)
)</f>
        <v/>
      </c>
      <c r="AT160" s="169" t="b">
        <v>0</v>
      </c>
      <c r="AU160" s="169"/>
      <c r="AV160" s="169"/>
      <c r="AW160" s="169"/>
      <c r="AX160" s="387"/>
    </row>
    <row r="161">
      <c r="A161" s="389">
        <v>160.0</v>
      </c>
      <c r="B161" s="138"/>
      <c r="C161" s="139"/>
      <c r="D161" s="401"/>
      <c r="E161" s="141"/>
      <c r="F161" s="142"/>
      <c r="G161" s="398" t="str">
        <f t="shared" si="1"/>
        <v/>
      </c>
      <c r="H161" s="399"/>
      <c r="I161" s="399"/>
      <c r="J161" s="141"/>
      <c r="K161" s="145" t="str">
        <f>IFERROR(__xludf.DUMMYFUNCTION("IF(ISBLANK(C161), """", GOOGLEFINANCE(""NSE:"" &amp; C161,""price""))"),"")</f>
        <v/>
      </c>
      <c r="L161" s="146"/>
      <c r="M161" s="147"/>
      <c r="N161" s="148"/>
      <c r="O161" s="149"/>
      <c r="P161" s="150"/>
      <c r="Q161" s="377"/>
      <c r="R161" s="152"/>
      <c r="S161" s="150"/>
      <c r="T161" s="377"/>
      <c r="U161" s="153" t="str">
        <f t="shared" si="23"/>
        <v/>
      </c>
      <c r="V161" s="154" t="str">
        <f>IFS(AND(B161&gt;=DATE(2025,1,1), B161&lt;=DATE(2025,1,31)), U161/DDashboard!$C$2, AND(B161&gt;=DATE(2025,2,1), B161&lt;=DATE(2025,2,28)), U161/DDashboard!$C$3, AND(B161&gt;=DATE(2025,3,1), B161&lt;=DATE(2025,3,31)), U161/DDashboard!$C$4, AND(B161&gt;=DATE(2025,4,1), B161&lt;=DATE(2025,4,30)), U161/DDashboard!$C$5,AND(B161&gt;=DATE(2025,5,1), B161&lt;=DATE(2025,5,31)), U161/DDashboard!$C$6,AND(B161&gt;=DATE(2025,6,1), B161&lt;=DATE(2025,6,30)), U161/DDashboard!$C$7,AND(B161&gt;=DATE(2025,7,1), B161&lt;=DATE(2025,7,31)), U161/DDashboard!$C$8,AND(B161&gt;=DATE(2025,8,1), B161&lt;=DATE(2025,8,31)), U161/DDashboard!$C$9,AND(B161&gt;=DATE(2025,9,1), B161&lt;=DATE(2025,9,30)), U161/DDashboard!$C$10,AND(B161&gt;=DATE(2025,10,1), B161&lt;=DATE(2025,10,31)), U161/DDashboard!$C$11,AND(B161&gt;=DATE(2025,11,1), B161&lt;=DATE(2025,11,30)), U161/DDashboard!$C$12, AND(B161&gt;=DATE(2025,12,1), B161&lt;=DATE(2025,12,31)), U161/DDashboard!$C$13, True, "")
</f>
        <v/>
      </c>
      <c r="W161" s="65" t="str">
        <f t="shared" si="3"/>
        <v/>
      </c>
      <c r="X161" s="155"/>
      <c r="Y161" s="156"/>
      <c r="Z161" s="392"/>
      <c r="AA161" s="390"/>
      <c r="AB161" s="359"/>
      <c r="AC161" s="360"/>
      <c r="AD161" s="358"/>
      <c r="AE161" s="359"/>
      <c r="AF161" s="360"/>
      <c r="AG161" s="160" t="str">
        <f t="shared" si="4"/>
        <v/>
      </c>
      <c r="AH161" s="393" t="str">
        <f t="shared" si="5"/>
        <v/>
      </c>
      <c r="AI161" s="161" t="str">
        <f t="shared" si="24"/>
        <v/>
      </c>
      <c r="AJ161" s="365" t="str">
        <f t="shared" si="7"/>
        <v/>
      </c>
      <c r="AK161" s="162" t="str">
        <f t="shared" si="25"/>
        <v/>
      </c>
      <c r="AL161" s="161" t="str">
        <f t="shared" si="22"/>
        <v/>
      </c>
      <c r="AM161" s="163" t="str">
        <f>IF(AN161="", "", IF(AN161="Closed", IF(ISNUMBER(AF161), AF161-B161,IF(ISNUMBER(AC161), AC161-B161,IF(ISNUMBER(Z161), Z161-B161, ""))), TODAY()-B161))
</f>
        <v/>
      </c>
      <c r="AN161" s="381" t="str">
        <f t="shared" si="11"/>
        <v/>
      </c>
      <c r="AO161" s="366" t="str">
        <f t="shared" si="12"/>
        <v/>
      </c>
      <c r="AP161" s="166" t="str">
        <f t="shared" si="13"/>
        <v/>
      </c>
      <c r="AQ161" s="167" t="str">
        <f t="shared" si="26"/>
        <v/>
      </c>
      <c r="AR161" s="168" t="str">
        <f>IFS(AND(B161&gt;=DATE(2025,1,1), B161&lt;=DATE(2025,1,31)), AQ161/DDashboard!$C$2, AND(B161&gt;=DATE(2025,2,1), B161&lt;=DATE(2025,2,28)), AQ161/DDashboard!$C$3, AND(B161&gt;=DATE(2025,3,1), B161&lt;=DATE(2025,3,31)), AQ161/DDashboard!$C$4, AND(B161&gt;=DATE(2025,4,1), B161&lt;=DATE(2025,4,30)), AQ161/DDashboard!$C$5,AND(B161&gt;=DATE(2025,5,1), B161&lt;=DATE(2025,5,31)), AQ161/DDashboard!$C$6,AND(B161&gt;=DATE(2025,6,1), B161&lt;=DATE(2025,6,30)), AQ161/DDashboard!$C$7,AND(B161&gt;=DATE(2025,7,1), B161&lt;=DATE(2025,7,31)), AQ161/DDashboard!$C$8,AND(B161&gt;=DATE(2025,8,1), B161&lt;=DATE(2025,8,31)), AQ161/DDashboard!$C$9,AND(B161&gt;=DATE(2025,9,1), B161&lt;=DATE(2025,9,30)), AQ161/DDashboard!$C$10,AND(B161&gt;=DATE(2025,10,1), B161&lt;=DATE(2025,10,31)), AQ161/DDashboard!$C$11,AND(B161&gt;=DATE(2025,11,1), B161&lt;=DATE(2025,11,30)), AQ161/DDashboard!$C$12, AND(B161&gt;=DATE(2025,12,1), B161&lt;=DATE(2025,12,31)), AQ161/DDashboard!$C$13, True, "")
</f>
        <v/>
      </c>
      <c r="AS161" s="200" t="str">
        <f t="array" ref="AS161">IF(ISBLANK(C161), "", SUM($AR$9:AR161)
)</f>
        <v/>
      </c>
      <c r="AT161" s="169" t="b">
        <v>0</v>
      </c>
      <c r="AU161" s="169"/>
      <c r="AV161" s="169"/>
      <c r="AW161" s="169"/>
      <c r="AX161" s="383"/>
    </row>
    <row r="162">
      <c r="A162" s="388">
        <v>161.0</v>
      </c>
      <c r="B162" s="184"/>
      <c r="C162" s="185"/>
      <c r="D162" s="400"/>
      <c r="E162" s="187"/>
      <c r="F162" s="188"/>
      <c r="G162" s="397" t="str">
        <f t="shared" si="1"/>
        <v/>
      </c>
      <c r="H162" s="402"/>
      <c r="I162" s="402"/>
      <c r="J162" s="187"/>
      <c r="K162" s="145" t="str">
        <f>IFERROR(__xludf.DUMMYFUNCTION("IF(ISBLANK(C162), """", GOOGLEFINANCE(""NSE:"" &amp; C162,""price""))"),"")</f>
        <v/>
      </c>
      <c r="L162" s="213"/>
      <c r="M162" s="193"/>
      <c r="N162" s="194"/>
      <c r="O162" s="195"/>
      <c r="P162" s="196"/>
      <c r="Q162" s="376"/>
      <c r="R162" s="198"/>
      <c r="S162" s="196"/>
      <c r="T162" s="376"/>
      <c r="U162" s="199" t="str">
        <f t="shared" si="23"/>
        <v/>
      </c>
      <c r="V162" s="200" t="str">
        <f>IFS(AND(B162&gt;=DATE(2025,1,1), B162&lt;=DATE(2025,1,31)), U162/DDashboard!$C$2, AND(B162&gt;=DATE(2025,2,1), B162&lt;=DATE(2025,2,28)), U162/DDashboard!$C$3, AND(B162&gt;=DATE(2025,3,1), B162&lt;=DATE(2025,3,31)), U162/DDashboard!$C$4, AND(B162&gt;=DATE(2025,4,1), B162&lt;=DATE(2025,4,30)), U162/DDashboard!$C$5,AND(B162&gt;=DATE(2025,5,1), B162&lt;=DATE(2025,5,31)), U162/DDashboard!$C$6,AND(B162&gt;=DATE(2025,6,1), B162&lt;=DATE(2025,6,30)), U162/DDashboard!$C$7,AND(B162&gt;=DATE(2025,7,1), B162&lt;=DATE(2025,7,31)), U162/DDashboard!$C$8,AND(B162&gt;=DATE(2025,8,1), B162&lt;=DATE(2025,8,31)), U162/DDashboard!$C$9,AND(B162&gt;=DATE(2025,9,1), B162&lt;=DATE(2025,9,30)), U162/DDashboard!$C$10,AND(B162&gt;=DATE(2025,10,1), B162&lt;=DATE(2025,10,31)), U162/DDashboard!$C$11,AND(B162&gt;=DATE(2025,11,1), B162&lt;=DATE(2025,11,30)), U162/DDashboard!$C$12, AND(B162&gt;=DATE(2025,12,1), B162&lt;=DATE(2025,12,31)), U162/DDashboard!$C$13, True, "")
</f>
        <v/>
      </c>
      <c r="W162" s="201" t="str">
        <f t="shared" si="3"/>
        <v/>
      </c>
      <c r="X162" s="202"/>
      <c r="Y162" s="203"/>
      <c r="Z162" s="391"/>
      <c r="AA162" s="198"/>
      <c r="AB162" s="222"/>
      <c r="AC162" s="223"/>
      <c r="AD162" s="195"/>
      <c r="AE162" s="222"/>
      <c r="AF162" s="223"/>
      <c r="AG162" s="206" t="str">
        <f t="shared" si="4"/>
        <v/>
      </c>
      <c r="AH162" s="385" t="str">
        <f t="shared" si="5"/>
        <v/>
      </c>
      <c r="AI162" s="207" t="str">
        <f t="shared" si="24"/>
        <v/>
      </c>
      <c r="AJ162" s="367" t="str">
        <f t="shared" si="7"/>
        <v/>
      </c>
      <c r="AK162" s="208" t="str">
        <f t="shared" si="25"/>
        <v/>
      </c>
      <c r="AL162" s="207" t="str">
        <f t="shared" si="22"/>
        <v/>
      </c>
      <c r="AM162" s="209" t="str">
        <f>IF(AN162="", "", IF(AN162="Closed", 
    IF(ISNUMBER(AF162), AF162-B162,
        IF(ISNUMBER(AC162), AC162-B162,
            IF(ISNUMBER(Z162), Z162-B162, "")
        )
    ), 
    TODAY()-B162))</f>
        <v/>
      </c>
      <c r="AN162" s="386" t="str">
        <f t="shared" si="11"/>
        <v/>
      </c>
      <c r="AO162" s="366" t="str">
        <f t="shared" si="12"/>
        <v/>
      </c>
      <c r="AP162" s="210" t="str">
        <f t="shared" si="13"/>
        <v/>
      </c>
      <c r="AQ162" s="196" t="str">
        <f t="shared" si="26"/>
        <v/>
      </c>
      <c r="AR162" s="168" t="str">
        <f>IFS(AND(B162&gt;=DATE(2025,1,1), B162&lt;=DATE(2025,1,31)), AQ162/DDashboard!$C$2, AND(B162&gt;=DATE(2025,2,1), B162&lt;=DATE(2025,2,28)), AQ162/DDashboard!$C$3, AND(B162&gt;=DATE(2025,3,1), B162&lt;=DATE(2025,3,31)), AQ162/DDashboard!$C$4, AND(B162&gt;=DATE(2025,4,1), B162&lt;=DATE(2025,4,30)), AQ162/DDashboard!$C$5,AND(B162&gt;=DATE(2025,5,1), B162&lt;=DATE(2025,5,31)), AQ162/DDashboard!$C$6,AND(B162&gt;=DATE(2025,6,1), B162&lt;=DATE(2025,6,30)), AQ162/DDashboard!$C$7,AND(B162&gt;=DATE(2025,7,1), B162&lt;=DATE(2025,7,31)), AQ162/DDashboard!$C$8,AND(B162&gt;=DATE(2025,8,1), B162&lt;=DATE(2025,8,31)), AQ162/DDashboard!$C$9,AND(B162&gt;=DATE(2025,9,1), B162&lt;=DATE(2025,9,30)), AQ162/DDashboard!$C$10,AND(B162&gt;=DATE(2025,10,1), B162&lt;=DATE(2025,10,31)), AQ162/DDashboard!$C$11,AND(B162&gt;=DATE(2025,11,1), B162&lt;=DATE(2025,11,30)), AQ162/DDashboard!$C$12, AND(B162&gt;=DATE(2025,12,1), B162&lt;=DATE(2025,12,31)), AQ162/DDashboard!$C$13, True, "")
</f>
        <v/>
      </c>
      <c r="AS162" s="200" t="str">
        <f t="array" ref="AS162">IF(ISBLANK(C162), "", SUM($AR$9:AR162)
)</f>
        <v/>
      </c>
      <c r="AT162" s="169" t="b">
        <v>0</v>
      </c>
      <c r="AU162" s="169"/>
      <c r="AV162" s="169"/>
      <c r="AW162" s="169"/>
      <c r="AX162" s="32"/>
    </row>
    <row r="163">
      <c r="A163" s="389">
        <v>162.0</v>
      </c>
      <c r="B163" s="138"/>
      <c r="C163" s="139"/>
      <c r="D163" s="401"/>
      <c r="E163" s="141"/>
      <c r="F163" s="142"/>
      <c r="G163" s="398" t="str">
        <f t="shared" si="1"/>
        <v/>
      </c>
      <c r="H163" s="399"/>
      <c r="I163" s="399"/>
      <c r="J163" s="141"/>
      <c r="K163" s="145" t="str">
        <f>IFERROR(__xludf.DUMMYFUNCTION("IF(ISBLANK(C163), """", GOOGLEFINANCE(""NSE:"" &amp; C163,""price""))"),"")</f>
        <v/>
      </c>
      <c r="L163" s="146"/>
      <c r="M163" s="147"/>
      <c r="N163" s="148"/>
      <c r="O163" s="149"/>
      <c r="P163" s="150"/>
      <c r="Q163" s="377"/>
      <c r="R163" s="152"/>
      <c r="S163" s="150"/>
      <c r="T163" s="377"/>
      <c r="U163" s="153" t="str">
        <f t="shared" si="23"/>
        <v/>
      </c>
      <c r="V163" s="154" t="str">
        <f>IFS(AND(B163&gt;=DATE(2025,1,1), B163&lt;=DATE(2025,1,31)), U163/DDashboard!$C$2, AND(B163&gt;=DATE(2025,2,1), B163&lt;=DATE(2025,2,28)), U163/DDashboard!$C$3, AND(B163&gt;=DATE(2025,3,1), B163&lt;=DATE(2025,3,31)), U163/DDashboard!$C$4, AND(B163&gt;=DATE(2025,4,1), B163&lt;=DATE(2025,4,30)), U163/DDashboard!$C$5,AND(B163&gt;=DATE(2025,5,1), B163&lt;=DATE(2025,5,31)), U163/DDashboard!$C$6,AND(B163&gt;=DATE(2025,6,1), B163&lt;=DATE(2025,6,30)), U163/DDashboard!$C$7,AND(B163&gt;=DATE(2025,7,1), B163&lt;=DATE(2025,7,31)), U163/DDashboard!$C$8,AND(B163&gt;=DATE(2025,8,1), B163&lt;=DATE(2025,8,31)), U163/DDashboard!$C$9,AND(B163&gt;=DATE(2025,9,1), B163&lt;=DATE(2025,9,30)), U163/DDashboard!$C$10,AND(B163&gt;=DATE(2025,10,1), B163&lt;=DATE(2025,10,31)), U163/DDashboard!$C$11,AND(B163&gt;=DATE(2025,11,1), B163&lt;=DATE(2025,11,30)), U163/DDashboard!$C$12, AND(B163&gt;=DATE(2025,12,1), B163&lt;=DATE(2025,12,31)), U163/DDashboard!$C$13, True, "")
</f>
        <v/>
      </c>
      <c r="W163" s="65" t="str">
        <f t="shared" si="3"/>
        <v/>
      </c>
      <c r="X163" s="155"/>
      <c r="Y163" s="156"/>
      <c r="Z163" s="392"/>
      <c r="AA163" s="390"/>
      <c r="AB163" s="359"/>
      <c r="AC163" s="360"/>
      <c r="AD163" s="358"/>
      <c r="AE163" s="359"/>
      <c r="AF163" s="360"/>
      <c r="AG163" s="160" t="str">
        <f t="shared" si="4"/>
        <v/>
      </c>
      <c r="AH163" s="393" t="str">
        <f t="shared" si="5"/>
        <v/>
      </c>
      <c r="AI163" s="161" t="str">
        <f t="shared" si="24"/>
        <v/>
      </c>
      <c r="AJ163" s="365" t="str">
        <f t="shared" si="7"/>
        <v/>
      </c>
      <c r="AK163" s="162" t="str">
        <f t="shared" si="25"/>
        <v/>
      </c>
      <c r="AL163" s="161" t="str">
        <f t="shared" si="22"/>
        <v/>
      </c>
      <c r="AM163" s="163" t="str">
        <f>IF(AN163="", "", IF(AN163="Closed", IF(ISNUMBER(AF163), AF163-B163,IF(ISNUMBER(AC163), AC163-B163,IF(ISNUMBER(Z163), Z163-B163, ""))), TODAY()-B163))
</f>
        <v/>
      </c>
      <c r="AN163" s="381" t="str">
        <f t="shared" si="11"/>
        <v/>
      </c>
      <c r="AO163" s="366" t="str">
        <f t="shared" si="12"/>
        <v/>
      </c>
      <c r="AP163" s="166" t="str">
        <f t="shared" si="13"/>
        <v/>
      </c>
      <c r="AQ163" s="167" t="str">
        <f t="shared" si="26"/>
        <v/>
      </c>
      <c r="AR163" s="168" t="str">
        <f>IFS(AND(B163&gt;=DATE(2025,1,1), B163&lt;=DATE(2025,1,31)), AQ163/DDashboard!$C$2, AND(B163&gt;=DATE(2025,2,1), B163&lt;=DATE(2025,2,28)), AQ163/DDashboard!$C$3, AND(B163&gt;=DATE(2025,3,1), B163&lt;=DATE(2025,3,31)), AQ163/DDashboard!$C$4, AND(B163&gt;=DATE(2025,4,1), B163&lt;=DATE(2025,4,30)), AQ163/DDashboard!$C$5,AND(B163&gt;=DATE(2025,5,1), B163&lt;=DATE(2025,5,31)), AQ163/DDashboard!$C$6,AND(B163&gt;=DATE(2025,6,1), B163&lt;=DATE(2025,6,30)), AQ163/DDashboard!$C$7,AND(B163&gt;=DATE(2025,7,1), B163&lt;=DATE(2025,7,31)), AQ163/DDashboard!$C$8,AND(B163&gt;=DATE(2025,8,1), B163&lt;=DATE(2025,8,31)), AQ163/DDashboard!$C$9,AND(B163&gt;=DATE(2025,9,1), B163&lt;=DATE(2025,9,30)), AQ163/DDashboard!$C$10,AND(B163&gt;=DATE(2025,10,1), B163&lt;=DATE(2025,10,31)), AQ163/DDashboard!$C$11,AND(B163&gt;=DATE(2025,11,1), B163&lt;=DATE(2025,11,30)), AQ163/DDashboard!$C$12, AND(B163&gt;=DATE(2025,12,1), B163&lt;=DATE(2025,12,31)), AQ163/DDashboard!$C$13, True, "")
</f>
        <v/>
      </c>
      <c r="AS163" s="200" t="str">
        <f t="array" ref="AS163">IF(ISBLANK(C163), "", SUM($AR$9:AR163)
)</f>
        <v/>
      </c>
      <c r="AT163" s="169" t="b">
        <v>0</v>
      </c>
      <c r="AU163" s="169"/>
      <c r="AV163" s="169"/>
      <c r="AW163" s="169"/>
      <c r="AX163" s="383"/>
    </row>
    <row r="164">
      <c r="A164" s="388">
        <v>163.0</v>
      </c>
      <c r="B164" s="184"/>
      <c r="C164" s="185"/>
      <c r="D164" s="400"/>
      <c r="E164" s="187"/>
      <c r="F164" s="188"/>
      <c r="G164" s="397" t="str">
        <f t="shared" si="1"/>
        <v/>
      </c>
      <c r="H164" s="402"/>
      <c r="I164" s="402"/>
      <c r="J164" s="187"/>
      <c r="K164" s="145" t="str">
        <f>IFERROR(__xludf.DUMMYFUNCTION("IF(ISBLANK(C164), """", GOOGLEFINANCE(""NSE:"" &amp; C164,""price""))"),"")</f>
        <v/>
      </c>
      <c r="L164" s="213"/>
      <c r="M164" s="193"/>
      <c r="N164" s="194"/>
      <c r="O164" s="195"/>
      <c r="P164" s="196"/>
      <c r="Q164" s="376"/>
      <c r="R164" s="198"/>
      <c r="S164" s="196"/>
      <c r="T164" s="376"/>
      <c r="U164" s="199" t="str">
        <f t="shared" si="23"/>
        <v/>
      </c>
      <c r="V164" s="200" t="str">
        <f>IFS(AND(B164&gt;=DATE(2025,1,1), B164&lt;=DATE(2025,1,31)), U164/DDashboard!$C$2, AND(B164&gt;=DATE(2025,2,1), B164&lt;=DATE(2025,2,28)), U164/DDashboard!$C$3, AND(B164&gt;=DATE(2025,3,1), B164&lt;=DATE(2025,3,31)), U164/DDashboard!$C$4, AND(B164&gt;=DATE(2025,4,1), B164&lt;=DATE(2025,4,30)), U164/DDashboard!$C$5,AND(B164&gt;=DATE(2025,5,1), B164&lt;=DATE(2025,5,31)), U164/DDashboard!$C$6,AND(B164&gt;=DATE(2025,6,1), B164&lt;=DATE(2025,6,30)), U164/DDashboard!$C$7,AND(B164&gt;=DATE(2025,7,1), B164&lt;=DATE(2025,7,31)), U164/DDashboard!$C$8,AND(B164&gt;=DATE(2025,8,1), B164&lt;=DATE(2025,8,31)), U164/DDashboard!$C$9,AND(B164&gt;=DATE(2025,9,1), B164&lt;=DATE(2025,9,30)), U164/DDashboard!$C$10,AND(B164&gt;=DATE(2025,10,1), B164&lt;=DATE(2025,10,31)), U164/DDashboard!$C$11,AND(B164&gt;=DATE(2025,11,1), B164&lt;=DATE(2025,11,30)), U164/DDashboard!$C$12, AND(B164&gt;=DATE(2025,12,1), B164&lt;=DATE(2025,12,31)), U164/DDashboard!$C$13, True, "")
</f>
        <v/>
      </c>
      <c r="W164" s="201" t="str">
        <f t="shared" si="3"/>
        <v/>
      </c>
      <c r="X164" s="202"/>
      <c r="Y164" s="203"/>
      <c r="Z164" s="391"/>
      <c r="AA164" s="198"/>
      <c r="AB164" s="222"/>
      <c r="AC164" s="223"/>
      <c r="AD164" s="195"/>
      <c r="AE164" s="222"/>
      <c r="AF164" s="223"/>
      <c r="AG164" s="206" t="str">
        <f t="shared" si="4"/>
        <v/>
      </c>
      <c r="AH164" s="385" t="str">
        <f t="shared" si="5"/>
        <v/>
      </c>
      <c r="AI164" s="207" t="str">
        <f t="shared" si="24"/>
        <v/>
      </c>
      <c r="AJ164" s="367" t="str">
        <f t="shared" si="7"/>
        <v/>
      </c>
      <c r="AK164" s="208" t="str">
        <f t="shared" si="25"/>
        <v/>
      </c>
      <c r="AL164" s="207" t="str">
        <f t="shared" si="22"/>
        <v/>
      </c>
      <c r="AM164" s="209" t="str">
        <f>IF(AN164="", "", IF(AN164="Closed", 
    IF(ISNUMBER(AF164), AF164-B164,
        IF(ISNUMBER(AC164), AC164-B164,
            IF(ISNUMBER(Z164), Z164-B164, "")
        )
    ), 
    TODAY()-B164))</f>
        <v/>
      </c>
      <c r="AN164" s="386" t="str">
        <f t="shared" si="11"/>
        <v/>
      </c>
      <c r="AO164" s="366" t="str">
        <f t="shared" si="12"/>
        <v/>
      </c>
      <c r="AP164" s="210" t="str">
        <f t="shared" si="13"/>
        <v/>
      </c>
      <c r="AQ164" s="196" t="str">
        <f t="shared" si="26"/>
        <v/>
      </c>
      <c r="AR164" s="168" t="str">
        <f>IFS(AND(B164&gt;=DATE(2025,1,1), B164&lt;=DATE(2025,1,31)), AQ164/DDashboard!$C$2, AND(B164&gt;=DATE(2025,2,1), B164&lt;=DATE(2025,2,28)), AQ164/DDashboard!$C$3, AND(B164&gt;=DATE(2025,3,1), B164&lt;=DATE(2025,3,31)), AQ164/DDashboard!$C$4, AND(B164&gt;=DATE(2025,4,1), B164&lt;=DATE(2025,4,30)), AQ164/DDashboard!$C$5,AND(B164&gt;=DATE(2025,5,1), B164&lt;=DATE(2025,5,31)), AQ164/DDashboard!$C$6,AND(B164&gt;=DATE(2025,6,1), B164&lt;=DATE(2025,6,30)), AQ164/DDashboard!$C$7,AND(B164&gt;=DATE(2025,7,1), B164&lt;=DATE(2025,7,31)), AQ164/DDashboard!$C$8,AND(B164&gt;=DATE(2025,8,1), B164&lt;=DATE(2025,8,31)), AQ164/DDashboard!$C$9,AND(B164&gt;=DATE(2025,9,1), B164&lt;=DATE(2025,9,30)), AQ164/DDashboard!$C$10,AND(B164&gt;=DATE(2025,10,1), B164&lt;=DATE(2025,10,31)), AQ164/DDashboard!$C$11,AND(B164&gt;=DATE(2025,11,1), B164&lt;=DATE(2025,11,30)), AQ164/DDashboard!$C$12, AND(B164&gt;=DATE(2025,12,1), B164&lt;=DATE(2025,12,31)), AQ164/DDashboard!$C$13, True, "")
</f>
        <v/>
      </c>
      <c r="AS164" s="200" t="str">
        <f t="array" ref="AS164">IF(ISBLANK(C164), "", SUM($AR$9:AR164)
)</f>
        <v/>
      </c>
      <c r="AT164" s="169" t="b">
        <v>0</v>
      </c>
      <c r="AU164" s="169"/>
      <c r="AV164" s="169"/>
      <c r="AW164" s="169"/>
      <c r="AX164" s="387"/>
    </row>
    <row r="165">
      <c r="A165" s="389">
        <v>164.0</v>
      </c>
      <c r="B165" s="138"/>
      <c r="C165" s="139"/>
      <c r="D165" s="401"/>
      <c r="E165" s="141"/>
      <c r="F165" s="142"/>
      <c r="G165" s="398" t="str">
        <f t="shared" si="1"/>
        <v/>
      </c>
      <c r="H165" s="399"/>
      <c r="I165" s="399"/>
      <c r="J165" s="141"/>
      <c r="K165" s="145" t="str">
        <f>IFERROR(__xludf.DUMMYFUNCTION("IF(ISBLANK(C165), """", GOOGLEFINANCE(""NSE:"" &amp; C165,""price""))"),"")</f>
        <v/>
      </c>
      <c r="L165" s="146"/>
      <c r="M165" s="147"/>
      <c r="N165" s="148"/>
      <c r="O165" s="149"/>
      <c r="P165" s="150"/>
      <c r="Q165" s="377"/>
      <c r="R165" s="152"/>
      <c r="S165" s="150"/>
      <c r="T165" s="377"/>
      <c r="U165" s="153" t="str">
        <f t="shared" si="23"/>
        <v/>
      </c>
      <c r="V165" s="154" t="str">
        <f>IFS(AND(B165&gt;=DATE(2025,1,1), B165&lt;=DATE(2025,1,31)), U165/DDashboard!$C$2, AND(B165&gt;=DATE(2025,2,1), B165&lt;=DATE(2025,2,28)), U165/DDashboard!$C$3, AND(B165&gt;=DATE(2025,3,1), B165&lt;=DATE(2025,3,31)), U165/DDashboard!$C$4, AND(B165&gt;=DATE(2025,4,1), B165&lt;=DATE(2025,4,30)), U165/DDashboard!$C$5,AND(B165&gt;=DATE(2025,5,1), B165&lt;=DATE(2025,5,31)), U165/DDashboard!$C$6,AND(B165&gt;=DATE(2025,6,1), B165&lt;=DATE(2025,6,30)), U165/DDashboard!$C$7,AND(B165&gt;=DATE(2025,7,1), B165&lt;=DATE(2025,7,31)), U165/DDashboard!$C$8,AND(B165&gt;=DATE(2025,8,1), B165&lt;=DATE(2025,8,31)), U165/DDashboard!$C$9,AND(B165&gt;=DATE(2025,9,1), B165&lt;=DATE(2025,9,30)), U165/DDashboard!$C$10,AND(B165&gt;=DATE(2025,10,1), B165&lt;=DATE(2025,10,31)), U165/DDashboard!$C$11,AND(B165&gt;=DATE(2025,11,1), B165&lt;=DATE(2025,11,30)), U165/DDashboard!$C$12, AND(B165&gt;=DATE(2025,12,1), B165&lt;=DATE(2025,12,31)), U165/DDashboard!$C$13, True, "")
</f>
        <v/>
      </c>
      <c r="W165" s="65" t="str">
        <f t="shared" si="3"/>
        <v/>
      </c>
      <c r="X165" s="155"/>
      <c r="Y165" s="156"/>
      <c r="Z165" s="392"/>
      <c r="AA165" s="390"/>
      <c r="AB165" s="359"/>
      <c r="AC165" s="360"/>
      <c r="AD165" s="358"/>
      <c r="AE165" s="359"/>
      <c r="AF165" s="360"/>
      <c r="AG165" s="160" t="str">
        <f t="shared" si="4"/>
        <v/>
      </c>
      <c r="AH165" s="393" t="str">
        <f t="shared" si="5"/>
        <v/>
      </c>
      <c r="AI165" s="161" t="str">
        <f t="shared" si="24"/>
        <v/>
      </c>
      <c r="AJ165" s="365" t="str">
        <f t="shared" si="7"/>
        <v/>
      </c>
      <c r="AK165" s="162" t="str">
        <f t="shared" si="25"/>
        <v/>
      </c>
      <c r="AL165" s="161" t="str">
        <f t="shared" si="22"/>
        <v/>
      </c>
      <c r="AM165" s="163" t="str">
        <f>IF(AN165="", "", IF(AN165="Closed", IF(ISNUMBER(AF165), AF165-B165,IF(ISNUMBER(AC165), AC165-B165,IF(ISNUMBER(Z165), Z165-B165, ""))), TODAY()-B165))
</f>
        <v/>
      </c>
      <c r="AN165" s="381" t="str">
        <f t="shared" si="11"/>
        <v/>
      </c>
      <c r="AO165" s="366" t="str">
        <f t="shared" si="12"/>
        <v/>
      </c>
      <c r="AP165" s="166" t="str">
        <f t="shared" si="13"/>
        <v/>
      </c>
      <c r="AQ165" s="167" t="str">
        <f t="shared" si="26"/>
        <v/>
      </c>
      <c r="AR165" s="168" t="str">
        <f>IFS(AND(B165&gt;=DATE(2025,1,1), B165&lt;=DATE(2025,1,31)), AQ165/DDashboard!$C$2, AND(B165&gt;=DATE(2025,2,1), B165&lt;=DATE(2025,2,28)), AQ165/DDashboard!$C$3, AND(B165&gt;=DATE(2025,3,1), B165&lt;=DATE(2025,3,31)), AQ165/DDashboard!$C$4, AND(B165&gt;=DATE(2025,4,1), B165&lt;=DATE(2025,4,30)), AQ165/DDashboard!$C$5,AND(B165&gt;=DATE(2025,5,1), B165&lt;=DATE(2025,5,31)), AQ165/DDashboard!$C$6,AND(B165&gt;=DATE(2025,6,1), B165&lt;=DATE(2025,6,30)), AQ165/DDashboard!$C$7,AND(B165&gt;=DATE(2025,7,1), B165&lt;=DATE(2025,7,31)), AQ165/DDashboard!$C$8,AND(B165&gt;=DATE(2025,8,1), B165&lt;=DATE(2025,8,31)), AQ165/DDashboard!$C$9,AND(B165&gt;=DATE(2025,9,1), B165&lt;=DATE(2025,9,30)), AQ165/DDashboard!$C$10,AND(B165&gt;=DATE(2025,10,1), B165&lt;=DATE(2025,10,31)), AQ165/DDashboard!$C$11,AND(B165&gt;=DATE(2025,11,1), B165&lt;=DATE(2025,11,30)), AQ165/DDashboard!$C$12, AND(B165&gt;=DATE(2025,12,1), B165&lt;=DATE(2025,12,31)), AQ165/DDashboard!$C$13, True, "")
</f>
        <v/>
      </c>
      <c r="AS165" s="200" t="str">
        <f t="array" ref="AS165">IF(ISBLANK(C165), "", SUM($AR$9:AR165)
)</f>
        <v/>
      </c>
      <c r="AT165" s="169" t="b">
        <v>0</v>
      </c>
      <c r="AU165" s="169"/>
      <c r="AV165" s="169"/>
      <c r="AW165" s="169"/>
      <c r="AX165" s="383"/>
    </row>
    <row r="166">
      <c r="A166" s="388">
        <v>165.0</v>
      </c>
      <c r="B166" s="184"/>
      <c r="C166" s="185"/>
      <c r="D166" s="404"/>
      <c r="E166" s="404"/>
      <c r="F166" s="188"/>
      <c r="G166" s="397" t="str">
        <f t="shared" si="1"/>
        <v/>
      </c>
      <c r="H166" s="190"/>
      <c r="I166" s="402"/>
      <c r="J166" s="187"/>
      <c r="K166" s="145" t="str">
        <f>IFERROR(__xludf.DUMMYFUNCTION("IF(ISBLANK(C166), """", GOOGLEFINANCE(""NSE:"" &amp; C166,""price""))"),"")</f>
        <v/>
      </c>
      <c r="L166" s="213"/>
      <c r="M166" s="193"/>
      <c r="N166" s="194"/>
      <c r="O166" s="195"/>
      <c r="P166" s="196"/>
      <c r="Q166" s="376"/>
      <c r="R166" s="198"/>
      <c r="S166" s="196"/>
      <c r="T166" s="376"/>
      <c r="U166" s="199" t="str">
        <f t="shared" si="23"/>
        <v/>
      </c>
      <c r="V166" s="200" t="str">
        <f>IFS(AND(B166&gt;=DATE(2025,1,1), B166&lt;=DATE(2025,1,31)), U166/DDashboard!$C$2, AND(B166&gt;=DATE(2025,2,1), B166&lt;=DATE(2025,2,28)), U166/DDashboard!$C$3, AND(B166&gt;=DATE(2025,3,1), B166&lt;=DATE(2025,3,31)), U166/DDashboard!$C$4, AND(B166&gt;=DATE(2025,4,1), B166&lt;=DATE(2025,4,30)), U166/DDashboard!$C$5,AND(B166&gt;=DATE(2025,5,1), B166&lt;=DATE(2025,5,31)), U166/DDashboard!$C$6,AND(B166&gt;=DATE(2025,6,1), B166&lt;=DATE(2025,6,30)), U166/DDashboard!$C$7,AND(B166&gt;=DATE(2025,7,1), B166&lt;=DATE(2025,7,31)), U166/DDashboard!$C$8,AND(B166&gt;=DATE(2025,8,1), B166&lt;=DATE(2025,8,31)), U166/DDashboard!$C$9,AND(B166&gt;=DATE(2025,9,1), B166&lt;=DATE(2025,9,30)), U166/DDashboard!$C$10,AND(B166&gt;=DATE(2025,10,1), B166&lt;=DATE(2025,10,31)), U166/DDashboard!$C$11,AND(B166&gt;=DATE(2025,11,1), B166&lt;=DATE(2025,11,30)), U166/DDashboard!$C$12, AND(B166&gt;=DATE(2025,12,1), B166&lt;=DATE(2025,12,31)), U166/DDashboard!$C$13, True, "")
</f>
        <v/>
      </c>
      <c r="W166" s="201" t="str">
        <f t="shared" si="3"/>
        <v/>
      </c>
      <c r="X166" s="202"/>
      <c r="Y166" s="203"/>
      <c r="Z166" s="391"/>
      <c r="AA166" s="198"/>
      <c r="AB166" s="222"/>
      <c r="AC166" s="223"/>
      <c r="AD166" s="195"/>
      <c r="AE166" s="222"/>
      <c r="AF166" s="223"/>
      <c r="AG166" s="206" t="str">
        <f t="shared" si="4"/>
        <v/>
      </c>
      <c r="AH166" s="385" t="str">
        <f t="shared" si="5"/>
        <v/>
      </c>
      <c r="AI166" s="207" t="str">
        <f t="shared" si="24"/>
        <v/>
      </c>
      <c r="AJ166" s="367" t="str">
        <f t="shared" si="7"/>
        <v/>
      </c>
      <c r="AK166" s="208" t="str">
        <f t="shared" si="25"/>
        <v/>
      </c>
      <c r="AL166" s="207" t="str">
        <f t="shared" si="22"/>
        <v/>
      </c>
      <c r="AM166" s="209" t="str">
        <f>IF(AN166="", "", IF(AN166="Closed", 
    IF(ISNUMBER(AF166), AF166-B166,
        IF(ISNUMBER(AC166), AC166-B166,
            IF(ISNUMBER(Z166), Z166-B166, "")
        )
    ), 
    TODAY()-B166))</f>
        <v/>
      </c>
      <c r="AN166" s="386" t="str">
        <f t="shared" si="11"/>
        <v/>
      </c>
      <c r="AO166" s="366" t="str">
        <f t="shared" si="12"/>
        <v/>
      </c>
      <c r="AP166" s="210" t="str">
        <f t="shared" si="13"/>
        <v/>
      </c>
      <c r="AQ166" s="196" t="str">
        <f t="shared" si="26"/>
        <v/>
      </c>
      <c r="AR166" s="168" t="str">
        <f>IFS(AND(B166&gt;=DATE(2025,1,1), B166&lt;=DATE(2025,1,31)), AQ166/DDashboard!$C$2, AND(B166&gt;=DATE(2025,2,1), B166&lt;=DATE(2025,2,28)), AQ166/DDashboard!$C$3, AND(B166&gt;=DATE(2025,3,1), B166&lt;=DATE(2025,3,31)), AQ166/DDashboard!$C$4, AND(B166&gt;=DATE(2025,4,1), B166&lt;=DATE(2025,4,30)), AQ166/DDashboard!$C$5,AND(B166&gt;=DATE(2025,5,1), B166&lt;=DATE(2025,5,31)), AQ166/DDashboard!$C$6,AND(B166&gt;=DATE(2025,6,1), B166&lt;=DATE(2025,6,30)), AQ166/DDashboard!$C$7,AND(B166&gt;=DATE(2025,7,1), B166&lt;=DATE(2025,7,31)), AQ166/DDashboard!$C$8,AND(B166&gt;=DATE(2025,8,1), B166&lt;=DATE(2025,8,31)), AQ166/DDashboard!$C$9,AND(B166&gt;=DATE(2025,9,1), B166&lt;=DATE(2025,9,30)), AQ166/DDashboard!$C$10,AND(B166&gt;=DATE(2025,10,1), B166&lt;=DATE(2025,10,31)), AQ166/DDashboard!$C$11,AND(B166&gt;=DATE(2025,11,1), B166&lt;=DATE(2025,11,30)), AQ166/DDashboard!$C$12, AND(B166&gt;=DATE(2025,12,1), B166&lt;=DATE(2025,12,31)), AQ166/DDashboard!$C$13, True, "")
</f>
        <v/>
      </c>
      <c r="AS166" s="200" t="str">
        <f t="array" ref="AS166">IF(ISBLANK(C166), "", SUM($AR$9:AR166)
)</f>
        <v/>
      </c>
      <c r="AT166" s="169" t="b">
        <v>0</v>
      </c>
      <c r="AU166" s="169"/>
      <c r="AV166" s="169"/>
      <c r="AW166" s="169"/>
      <c r="AX166" s="32"/>
    </row>
    <row r="167">
      <c r="A167" s="389">
        <v>166.0</v>
      </c>
      <c r="B167" s="138"/>
      <c r="C167" s="139"/>
      <c r="D167" s="403"/>
      <c r="E167" s="403"/>
      <c r="F167" s="142"/>
      <c r="G167" s="398" t="str">
        <f t="shared" si="1"/>
        <v/>
      </c>
      <c r="H167" s="144"/>
      <c r="I167" s="144"/>
      <c r="J167" s="141"/>
      <c r="K167" s="145" t="str">
        <f>IFERROR(__xludf.DUMMYFUNCTION("IF(ISBLANK(C167), """", GOOGLEFINANCE(""NSE:"" &amp; C167,""price""))"),"")</f>
        <v/>
      </c>
      <c r="L167" s="146"/>
      <c r="M167" s="147"/>
      <c r="N167" s="148"/>
      <c r="O167" s="149"/>
      <c r="P167" s="150"/>
      <c r="Q167" s="377"/>
      <c r="R167" s="152"/>
      <c r="S167" s="150"/>
      <c r="T167" s="377"/>
      <c r="U167" s="153" t="str">
        <f t="shared" si="23"/>
        <v/>
      </c>
      <c r="V167" s="154" t="str">
        <f>IFS(AND(B167&gt;=DATE(2025,1,1), B167&lt;=DATE(2025,1,31)), U167/DDashboard!$C$2, AND(B167&gt;=DATE(2025,2,1), B167&lt;=DATE(2025,2,28)), U167/DDashboard!$C$3, AND(B167&gt;=DATE(2025,3,1), B167&lt;=DATE(2025,3,31)), U167/DDashboard!$C$4, AND(B167&gt;=DATE(2025,4,1), B167&lt;=DATE(2025,4,30)), U167/DDashboard!$C$5,AND(B167&gt;=DATE(2025,5,1), B167&lt;=DATE(2025,5,31)), U167/DDashboard!$C$6,AND(B167&gt;=DATE(2025,6,1), B167&lt;=DATE(2025,6,30)), U167/DDashboard!$C$7,AND(B167&gt;=DATE(2025,7,1), B167&lt;=DATE(2025,7,31)), U167/DDashboard!$C$8,AND(B167&gt;=DATE(2025,8,1), B167&lt;=DATE(2025,8,31)), U167/DDashboard!$C$9,AND(B167&gt;=DATE(2025,9,1), B167&lt;=DATE(2025,9,30)), U167/DDashboard!$C$10,AND(B167&gt;=DATE(2025,10,1), B167&lt;=DATE(2025,10,31)), U167/DDashboard!$C$11,AND(B167&gt;=DATE(2025,11,1), B167&lt;=DATE(2025,11,30)), U167/DDashboard!$C$12, AND(B167&gt;=DATE(2025,12,1), B167&lt;=DATE(2025,12,31)), U167/DDashboard!$C$13, True, "")
</f>
        <v/>
      </c>
      <c r="W167" s="65" t="str">
        <f t="shared" si="3"/>
        <v/>
      </c>
      <c r="X167" s="155"/>
      <c r="Y167" s="156"/>
      <c r="Z167" s="392"/>
      <c r="AA167" s="390"/>
      <c r="AB167" s="359"/>
      <c r="AC167" s="360"/>
      <c r="AD167" s="358"/>
      <c r="AE167" s="359"/>
      <c r="AF167" s="360"/>
      <c r="AG167" s="160" t="str">
        <f t="shared" si="4"/>
        <v/>
      </c>
      <c r="AH167" s="393" t="str">
        <f t="shared" si="5"/>
        <v/>
      </c>
      <c r="AI167" s="161" t="str">
        <f t="shared" si="24"/>
        <v/>
      </c>
      <c r="AJ167" s="365" t="str">
        <f t="shared" si="7"/>
        <v/>
      </c>
      <c r="AK167" s="162" t="str">
        <f t="shared" si="25"/>
        <v/>
      </c>
      <c r="AL167" s="161" t="str">
        <f t="shared" si="22"/>
        <v/>
      </c>
      <c r="AM167" s="163" t="str">
        <f>IF(AN167="", "", IF(AN167="Closed", IF(ISNUMBER(AF167), AF167-B167,IF(ISNUMBER(AC167), AC167-B167,IF(ISNUMBER(Z167), Z167-B167, ""))), TODAY()-B167))
</f>
        <v/>
      </c>
      <c r="AN167" s="381" t="str">
        <f t="shared" si="11"/>
        <v/>
      </c>
      <c r="AO167" s="366" t="str">
        <f t="shared" si="12"/>
        <v/>
      </c>
      <c r="AP167" s="166" t="str">
        <f t="shared" si="13"/>
        <v/>
      </c>
      <c r="AQ167" s="167" t="str">
        <f t="shared" si="26"/>
        <v/>
      </c>
      <c r="AR167" s="168" t="str">
        <f>IFS(AND(B167&gt;=DATE(2025,1,1), B167&lt;=DATE(2025,1,31)), AQ167/DDashboard!$C$2, AND(B167&gt;=DATE(2025,2,1), B167&lt;=DATE(2025,2,28)), AQ167/DDashboard!$C$3, AND(B167&gt;=DATE(2025,3,1), B167&lt;=DATE(2025,3,31)), AQ167/DDashboard!$C$4, AND(B167&gt;=DATE(2025,4,1), B167&lt;=DATE(2025,4,30)), AQ167/DDashboard!$C$5,AND(B167&gt;=DATE(2025,5,1), B167&lt;=DATE(2025,5,31)), AQ167/DDashboard!$C$6,AND(B167&gt;=DATE(2025,6,1), B167&lt;=DATE(2025,6,30)), AQ167/DDashboard!$C$7,AND(B167&gt;=DATE(2025,7,1), B167&lt;=DATE(2025,7,31)), AQ167/DDashboard!$C$8,AND(B167&gt;=DATE(2025,8,1), B167&lt;=DATE(2025,8,31)), AQ167/DDashboard!$C$9,AND(B167&gt;=DATE(2025,9,1), B167&lt;=DATE(2025,9,30)), AQ167/DDashboard!$C$10,AND(B167&gt;=DATE(2025,10,1), B167&lt;=DATE(2025,10,31)), AQ167/DDashboard!$C$11,AND(B167&gt;=DATE(2025,11,1), B167&lt;=DATE(2025,11,30)), AQ167/DDashboard!$C$12, AND(B167&gt;=DATE(2025,12,1), B167&lt;=DATE(2025,12,31)), AQ167/DDashboard!$C$13, True, "")
</f>
        <v/>
      </c>
      <c r="AS167" s="200" t="str">
        <f t="array" ref="AS167">IF(ISBLANK(C167), "", SUM($AR$9:AR167)
)</f>
        <v/>
      </c>
      <c r="AT167" s="169" t="b">
        <v>0</v>
      </c>
      <c r="AU167" s="169"/>
      <c r="AV167" s="169"/>
      <c r="AW167" s="169"/>
      <c r="AX167" s="183"/>
    </row>
    <row r="168">
      <c r="A168" s="388">
        <v>167.0</v>
      </c>
      <c r="B168" s="184"/>
      <c r="C168" s="185"/>
      <c r="D168" s="404"/>
      <c r="E168" s="404"/>
      <c r="F168" s="188"/>
      <c r="G168" s="397" t="str">
        <f t="shared" si="1"/>
        <v/>
      </c>
      <c r="H168" s="402"/>
      <c r="I168" s="190"/>
      <c r="J168" s="187"/>
      <c r="K168" s="145" t="str">
        <f>IFERROR(__xludf.DUMMYFUNCTION("IF(ISBLANK(C168), """", GOOGLEFINANCE(""NSE:"" &amp; C168,""price""))"),"")</f>
        <v/>
      </c>
      <c r="L168" s="213"/>
      <c r="M168" s="193"/>
      <c r="N168" s="194"/>
      <c r="O168" s="205"/>
      <c r="P168" s="228"/>
      <c r="Q168" s="370"/>
      <c r="R168" s="198"/>
      <c r="S168" s="196"/>
      <c r="T168" s="376"/>
      <c r="U168" s="199" t="str">
        <f t="shared" si="23"/>
        <v/>
      </c>
      <c r="V168" s="200" t="str">
        <f>IFS(AND(B168&gt;=DATE(2025,1,1), B168&lt;=DATE(2025,1,31)), U168/DDashboard!$C$2, AND(B168&gt;=DATE(2025,2,1), B168&lt;=DATE(2025,2,28)), U168/DDashboard!$C$3, AND(B168&gt;=DATE(2025,3,1), B168&lt;=DATE(2025,3,31)), U168/DDashboard!$C$4, AND(B168&gt;=DATE(2025,4,1), B168&lt;=DATE(2025,4,30)), U168/DDashboard!$C$5,AND(B168&gt;=DATE(2025,5,1), B168&lt;=DATE(2025,5,31)), U168/DDashboard!$C$6,AND(B168&gt;=DATE(2025,6,1), B168&lt;=DATE(2025,6,30)), U168/DDashboard!$C$7,AND(B168&gt;=DATE(2025,7,1), B168&lt;=DATE(2025,7,31)), U168/DDashboard!$C$8,AND(B168&gt;=DATE(2025,8,1), B168&lt;=DATE(2025,8,31)), U168/DDashboard!$C$9,AND(B168&gt;=DATE(2025,9,1), B168&lt;=DATE(2025,9,30)), U168/DDashboard!$C$10,AND(B168&gt;=DATE(2025,10,1), B168&lt;=DATE(2025,10,31)), U168/DDashboard!$C$11,AND(B168&gt;=DATE(2025,11,1), B168&lt;=DATE(2025,11,30)), U168/DDashboard!$C$12, AND(B168&gt;=DATE(2025,12,1), B168&lt;=DATE(2025,12,31)), U168/DDashboard!$C$13, True, "")
</f>
        <v/>
      </c>
      <c r="W168" s="201" t="str">
        <f t="shared" si="3"/>
        <v/>
      </c>
      <c r="X168" s="202"/>
      <c r="Y168" s="203"/>
      <c r="Z168" s="391"/>
      <c r="AA168" s="202"/>
      <c r="AB168" s="203"/>
      <c r="AC168" s="372"/>
      <c r="AD168" s="195"/>
      <c r="AE168" s="222"/>
      <c r="AF168" s="223"/>
      <c r="AG168" s="206" t="str">
        <f t="shared" si="4"/>
        <v/>
      </c>
      <c r="AH168" s="385" t="str">
        <f t="shared" si="5"/>
        <v/>
      </c>
      <c r="AI168" s="207" t="str">
        <f t="shared" si="24"/>
        <v/>
      </c>
      <c r="AJ168" s="367" t="str">
        <f t="shared" si="7"/>
        <v/>
      </c>
      <c r="AK168" s="208" t="str">
        <f t="shared" si="25"/>
        <v/>
      </c>
      <c r="AL168" s="207" t="str">
        <f t="shared" si="22"/>
        <v/>
      </c>
      <c r="AM168" s="209" t="str">
        <f>IF(AN168="", "", IF(AN168="Closed", 
    IF(ISNUMBER(AF168), AF168-B168,
        IF(ISNUMBER(AC168), AC168-B168,
            IF(ISNUMBER(Z168), Z168-B168, "")
        )
    ), 
    TODAY()-B168))</f>
        <v/>
      </c>
      <c r="AN168" s="386" t="str">
        <f t="shared" si="11"/>
        <v/>
      </c>
      <c r="AO168" s="366" t="str">
        <f t="shared" si="12"/>
        <v/>
      </c>
      <c r="AP168" s="210" t="str">
        <f t="shared" si="13"/>
        <v/>
      </c>
      <c r="AQ168" s="196" t="str">
        <f t="shared" si="26"/>
        <v/>
      </c>
      <c r="AR168" s="168" t="str">
        <f>IFS(AND(B168&gt;=DATE(2025,1,1), B168&lt;=DATE(2025,1,31)), AQ168/DDashboard!$C$2, AND(B168&gt;=DATE(2025,2,1), B168&lt;=DATE(2025,2,28)), AQ168/DDashboard!$C$3, AND(B168&gt;=DATE(2025,3,1), B168&lt;=DATE(2025,3,31)), AQ168/DDashboard!$C$4, AND(B168&gt;=DATE(2025,4,1), B168&lt;=DATE(2025,4,30)), AQ168/DDashboard!$C$5,AND(B168&gt;=DATE(2025,5,1), B168&lt;=DATE(2025,5,31)), AQ168/DDashboard!$C$6,AND(B168&gt;=DATE(2025,6,1), B168&lt;=DATE(2025,6,30)), AQ168/DDashboard!$C$7,AND(B168&gt;=DATE(2025,7,1), B168&lt;=DATE(2025,7,31)), AQ168/DDashboard!$C$8,AND(B168&gt;=DATE(2025,8,1), B168&lt;=DATE(2025,8,31)), AQ168/DDashboard!$C$9,AND(B168&gt;=DATE(2025,9,1), B168&lt;=DATE(2025,9,30)), AQ168/DDashboard!$C$10,AND(B168&gt;=DATE(2025,10,1), B168&lt;=DATE(2025,10,31)), AQ168/DDashboard!$C$11,AND(B168&gt;=DATE(2025,11,1), B168&lt;=DATE(2025,11,30)), AQ168/DDashboard!$C$12, AND(B168&gt;=DATE(2025,12,1), B168&lt;=DATE(2025,12,31)), AQ168/DDashboard!$C$13, True, "")
</f>
        <v/>
      </c>
      <c r="AS168" s="200" t="str">
        <f t="array" ref="AS168">IF(ISBLANK(C168), "", SUM($AR$9:AR168)
)</f>
        <v/>
      </c>
      <c r="AT168" s="169" t="b">
        <v>0</v>
      </c>
      <c r="AU168" s="169"/>
      <c r="AV168" s="169"/>
      <c r="AW168" s="169"/>
      <c r="AX168" s="32"/>
    </row>
    <row r="169">
      <c r="A169" s="389">
        <v>168.0</v>
      </c>
      <c r="B169" s="138"/>
      <c r="C169" s="139"/>
      <c r="D169" s="403"/>
      <c r="E169" s="403"/>
      <c r="F169" s="142"/>
      <c r="G169" s="398" t="str">
        <f t="shared" si="1"/>
        <v/>
      </c>
      <c r="H169" s="144"/>
      <c r="I169" s="144"/>
      <c r="J169" s="141"/>
      <c r="K169" s="145" t="str">
        <f>IFERROR(__xludf.DUMMYFUNCTION("IF(ISBLANK(C169), """", GOOGLEFINANCE(""NSE:"" &amp; C169,""price""))"),"")</f>
        <v/>
      </c>
      <c r="L169" s="146"/>
      <c r="M169" s="147"/>
      <c r="N169" s="148"/>
      <c r="O169" s="149"/>
      <c r="P169" s="150"/>
      <c r="Q169" s="377"/>
      <c r="R169" s="152"/>
      <c r="S169" s="150"/>
      <c r="T169" s="377"/>
      <c r="U169" s="153" t="str">
        <f t="shared" si="23"/>
        <v/>
      </c>
      <c r="V169" s="154" t="str">
        <f>IFS(AND(B169&gt;=DATE(2025,1,1), B169&lt;=DATE(2025,1,31)), U169/DDashboard!$C$2, AND(B169&gt;=DATE(2025,2,1), B169&lt;=DATE(2025,2,28)), U169/DDashboard!$C$3, AND(B169&gt;=DATE(2025,3,1), B169&lt;=DATE(2025,3,31)), U169/DDashboard!$C$4, AND(B169&gt;=DATE(2025,4,1), B169&lt;=DATE(2025,4,30)), U169/DDashboard!$C$5,AND(B169&gt;=DATE(2025,5,1), B169&lt;=DATE(2025,5,31)), U169/DDashboard!$C$6,AND(B169&gt;=DATE(2025,6,1), B169&lt;=DATE(2025,6,30)), U169/DDashboard!$C$7,AND(B169&gt;=DATE(2025,7,1), B169&lt;=DATE(2025,7,31)), U169/DDashboard!$C$8,AND(B169&gt;=DATE(2025,8,1), B169&lt;=DATE(2025,8,31)), U169/DDashboard!$C$9,AND(B169&gt;=DATE(2025,9,1), B169&lt;=DATE(2025,9,30)), U169/DDashboard!$C$10,AND(B169&gt;=DATE(2025,10,1), B169&lt;=DATE(2025,10,31)), U169/DDashboard!$C$11,AND(B169&gt;=DATE(2025,11,1), B169&lt;=DATE(2025,11,30)), U169/DDashboard!$C$12, AND(B169&gt;=DATE(2025,12,1), B169&lt;=DATE(2025,12,31)), U169/DDashboard!$C$13, True, "")
</f>
        <v/>
      </c>
      <c r="W169" s="65" t="str">
        <f t="shared" si="3"/>
        <v/>
      </c>
      <c r="X169" s="155"/>
      <c r="Y169" s="156"/>
      <c r="Z169" s="392"/>
      <c r="AA169" s="155"/>
      <c r="AB169" s="156"/>
      <c r="AC169" s="375"/>
      <c r="AD169" s="159"/>
      <c r="AE169" s="156"/>
      <c r="AF169" s="375"/>
      <c r="AG169" s="160" t="str">
        <f t="shared" si="4"/>
        <v/>
      </c>
      <c r="AH169" s="393" t="str">
        <f t="shared" si="5"/>
        <v/>
      </c>
      <c r="AI169" s="161" t="str">
        <f t="shared" si="24"/>
        <v/>
      </c>
      <c r="AJ169" s="365" t="str">
        <f t="shared" si="7"/>
        <v/>
      </c>
      <c r="AK169" s="162" t="str">
        <f t="shared" si="25"/>
        <v/>
      </c>
      <c r="AL169" s="161" t="str">
        <f t="shared" si="22"/>
        <v/>
      </c>
      <c r="AM169" s="163" t="str">
        <f>IF(AN169="", "", IF(AN169="Closed", IF(ISNUMBER(AF169), AF169-B169,IF(ISNUMBER(AC169), AC169-B169,IF(ISNUMBER(Z169), Z169-B169, ""))), TODAY()-B169))
</f>
        <v/>
      </c>
      <c r="AN169" s="381" t="str">
        <f t="shared" si="11"/>
        <v/>
      </c>
      <c r="AO169" s="366" t="str">
        <f t="shared" si="12"/>
        <v/>
      </c>
      <c r="AP169" s="166" t="str">
        <f t="shared" si="13"/>
        <v/>
      </c>
      <c r="AQ169" s="167" t="str">
        <f t="shared" si="26"/>
        <v/>
      </c>
      <c r="AR169" s="168" t="str">
        <f>IFS(AND(B169&gt;=DATE(2025,1,1), B169&lt;=DATE(2025,1,31)), AQ169/DDashboard!$C$2, AND(B169&gt;=DATE(2025,2,1), B169&lt;=DATE(2025,2,28)), AQ169/DDashboard!$C$3, AND(B169&gt;=DATE(2025,3,1), B169&lt;=DATE(2025,3,31)), AQ169/DDashboard!$C$4, AND(B169&gt;=DATE(2025,4,1), B169&lt;=DATE(2025,4,30)), AQ169/DDashboard!$C$5,AND(B169&gt;=DATE(2025,5,1), B169&lt;=DATE(2025,5,31)), AQ169/DDashboard!$C$6,AND(B169&gt;=DATE(2025,6,1), B169&lt;=DATE(2025,6,30)), AQ169/DDashboard!$C$7,AND(B169&gt;=DATE(2025,7,1), B169&lt;=DATE(2025,7,31)), AQ169/DDashboard!$C$8,AND(B169&gt;=DATE(2025,8,1), B169&lt;=DATE(2025,8,31)), AQ169/DDashboard!$C$9,AND(B169&gt;=DATE(2025,9,1), B169&lt;=DATE(2025,9,30)), AQ169/DDashboard!$C$10,AND(B169&gt;=DATE(2025,10,1), B169&lt;=DATE(2025,10,31)), AQ169/DDashboard!$C$11,AND(B169&gt;=DATE(2025,11,1), B169&lt;=DATE(2025,11,30)), AQ169/DDashboard!$C$12, AND(B169&gt;=DATE(2025,12,1), B169&lt;=DATE(2025,12,31)), AQ169/DDashboard!$C$13, True, "")
</f>
        <v/>
      </c>
      <c r="AS169" s="200" t="str">
        <f t="array" ref="AS169">IF(ISBLANK(C169), "", SUM($AR$9:AR169)
)</f>
        <v/>
      </c>
      <c r="AT169" s="169" t="b">
        <v>0</v>
      </c>
      <c r="AU169" s="169"/>
      <c r="AV169" s="169"/>
      <c r="AW169" s="169"/>
      <c r="AX169" s="183"/>
    </row>
    <row r="170">
      <c r="A170" s="388">
        <v>169.0</v>
      </c>
      <c r="B170" s="184"/>
      <c r="C170" s="185"/>
      <c r="D170" s="404"/>
      <c r="E170" s="404"/>
      <c r="F170" s="188"/>
      <c r="G170" s="397" t="str">
        <f t="shared" si="1"/>
        <v/>
      </c>
      <c r="H170" s="190"/>
      <c r="I170" s="402"/>
      <c r="J170" s="187"/>
      <c r="K170" s="145" t="str">
        <f>IFERROR(__xludf.DUMMYFUNCTION("IF(ISBLANK(C170), """", GOOGLEFINANCE(""NSE:"" &amp; C170,""price""))"),"")</f>
        <v/>
      </c>
      <c r="L170" s="213"/>
      <c r="M170" s="193"/>
      <c r="N170" s="194"/>
      <c r="O170" s="195"/>
      <c r="P170" s="196"/>
      <c r="Q170" s="376"/>
      <c r="R170" s="198"/>
      <c r="S170" s="196"/>
      <c r="T170" s="376"/>
      <c r="U170" s="199" t="str">
        <f t="shared" si="23"/>
        <v/>
      </c>
      <c r="V170" s="200" t="str">
        <f>IFS(AND(B170&gt;=DATE(2025,1,1), B170&lt;=DATE(2025,1,31)), U170/DDashboard!$C$2, AND(B170&gt;=DATE(2025,2,1), B170&lt;=DATE(2025,2,28)), U170/DDashboard!$C$3, AND(B170&gt;=DATE(2025,3,1), B170&lt;=DATE(2025,3,31)), U170/DDashboard!$C$4, AND(B170&gt;=DATE(2025,4,1), B170&lt;=DATE(2025,4,30)), U170/DDashboard!$C$5,AND(B170&gt;=DATE(2025,5,1), B170&lt;=DATE(2025,5,31)), U170/DDashboard!$C$6,AND(B170&gt;=DATE(2025,6,1), B170&lt;=DATE(2025,6,30)), U170/DDashboard!$C$7,AND(B170&gt;=DATE(2025,7,1), B170&lt;=DATE(2025,7,31)), U170/DDashboard!$C$8,AND(B170&gt;=DATE(2025,8,1), B170&lt;=DATE(2025,8,31)), U170/DDashboard!$C$9,AND(B170&gt;=DATE(2025,9,1), B170&lt;=DATE(2025,9,30)), U170/DDashboard!$C$10,AND(B170&gt;=DATE(2025,10,1), B170&lt;=DATE(2025,10,31)), U170/DDashboard!$C$11,AND(B170&gt;=DATE(2025,11,1), B170&lt;=DATE(2025,11,30)), U170/DDashboard!$C$12, AND(B170&gt;=DATE(2025,12,1), B170&lt;=DATE(2025,12,31)), U170/DDashboard!$C$13, True, "")
</f>
        <v/>
      </c>
      <c r="W170" s="201" t="str">
        <f t="shared" si="3"/>
        <v/>
      </c>
      <c r="X170" s="202"/>
      <c r="Y170" s="203"/>
      <c r="Z170" s="391"/>
      <c r="AA170" s="198"/>
      <c r="AB170" s="222"/>
      <c r="AC170" s="223"/>
      <c r="AD170" s="195"/>
      <c r="AE170" s="222"/>
      <c r="AF170" s="223"/>
      <c r="AG170" s="206" t="str">
        <f t="shared" si="4"/>
        <v/>
      </c>
      <c r="AH170" s="385" t="str">
        <f t="shared" si="5"/>
        <v/>
      </c>
      <c r="AI170" s="207" t="str">
        <f t="shared" si="24"/>
        <v/>
      </c>
      <c r="AJ170" s="367" t="str">
        <f t="shared" si="7"/>
        <v/>
      </c>
      <c r="AK170" s="208" t="str">
        <f t="shared" si="25"/>
        <v/>
      </c>
      <c r="AL170" s="207" t="str">
        <f t="shared" si="22"/>
        <v/>
      </c>
      <c r="AM170" s="209" t="str">
        <f>IF(AN170="", "", IF(AN170="Closed", 
    IF(ISNUMBER(AF170), AF170-B170,
        IF(ISNUMBER(AC170), AC170-B170,
            IF(ISNUMBER(Z170), Z170-B170, "")
        )
    ), 
    TODAY()-B170))</f>
        <v/>
      </c>
      <c r="AN170" s="386" t="str">
        <f t="shared" si="11"/>
        <v/>
      </c>
      <c r="AO170" s="366" t="str">
        <f t="shared" si="12"/>
        <v/>
      </c>
      <c r="AP170" s="210" t="str">
        <f t="shared" si="13"/>
        <v/>
      </c>
      <c r="AQ170" s="196" t="str">
        <f t="shared" si="26"/>
        <v/>
      </c>
      <c r="AR170" s="168" t="str">
        <f>IFS(AND(B170&gt;=DATE(2025,1,1), B170&lt;=DATE(2025,1,31)), AQ170/DDashboard!$C$2, AND(B170&gt;=DATE(2025,2,1), B170&lt;=DATE(2025,2,28)), AQ170/DDashboard!$C$3, AND(B170&gt;=DATE(2025,3,1), B170&lt;=DATE(2025,3,31)), AQ170/DDashboard!$C$4, AND(B170&gt;=DATE(2025,4,1), B170&lt;=DATE(2025,4,30)), AQ170/DDashboard!$C$5,AND(B170&gt;=DATE(2025,5,1), B170&lt;=DATE(2025,5,31)), AQ170/DDashboard!$C$6,AND(B170&gt;=DATE(2025,6,1), B170&lt;=DATE(2025,6,30)), AQ170/DDashboard!$C$7,AND(B170&gt;=DATE(2025,7,1), B170&lt;=DATE(2025,7,31)), AQ170/DDashboard!$C$8,AND(B170&gt;=DATE(2025,8,1), B170&lt;=DATE(2025,8,31)), AQ170/DDashboard!$C$9,AND(B170&gt;=DATE(2025,9,1), B170&lt;=DATE(2025,9,30)), AQ170/DDashboard!$C$10,AND(B170&gt;=DATE(2025,10,1), B170&lt;=DATE(2025,10,31)), AQ170/DDashboard!$C$11,AND(B170&gt;=DATE(2025,11,1), B170&lt;=DATE(2025,11,30)), AQ170/DDashboard!$C$12, AND(B170&gt;=DATE(2025,12,1), B170&lt;=DATE(2025,12,31)), AQ170/DDashboard!$C$13, True, "")
</f>
        <v/>
      </c>
      <c r="AS170" s="200" t="str">
        <f t="array" ref="AS170">IF(ISBLANK(C170), "", SUM($AR$9:AR170)
)</f>
        <v/>
      </c>
      <c r="AT170" s="169" t="b">
        <v>0</v>
      </c>
      <c r="AU170" s="169"/>
      <c r="AV170" s="169"/>
      <c r="AW170" s="169"/>
      <c r="AX170" s="387"/>
    </row>
    <row r="171">
      <c r="A171" s="389">
        <v>170.0</v>
      </c>
      <c r="B171" s="138"/>
      <c r="C171" s="139"/>
      <c r="D171" s="409"/>
      <c r="E171" s="141"/>
      <c r="F171" s="142"/>
      <c r="G171" s="398" t="str">
        <f t="shared" si="1"/>
        <v/>
      </c>
      <c r="H171" s="399"/>
      <c r="I171" s="399"/>
      <c r="J171" s="141"/>
      <c r="K171" s="145" t="str">
        <f>IFERROR(__xludf.DUMMYFUNCTION("IF(ISBLANK(C171), """", GOOGLEFINANCE(""NSE:"" &amp; C171,""price""))"),"")</f>
        <v/>
      </c>
      <c r="L171" s="146"/>
      <c r="M171" s="147"/>
      <c r="N171" s="148"/>
      <c r="O171" s="149"/>
      <c r="P171" s="150"/>
      <c r="Q171" s="377"/>
      <c r="R171" s="152"/>
      <c r="S171" s="150"/>
      <c r="T171" s="377"/>
      <c r="U171" s="153" t="str">
        <f t="shared" si="23"/>
        <v/>
      </c>
      <c r="V171" s="154" t="str">
        <f>IFS(AND(B171&gt;=DATE(2025,1,1), B171&lt;=DATE(2025,1,31)), U171/DDashboard!$C$2, AND(B171&gt;=DATE(2025,2,1), B171&lt;=DATE(2025,2,28)), U171/DDashboard!$C$3, AND(B171&gt;=DATE(2025,3,1), B171&lt;=DATE(2025,3,31)), U171/DDashboard!$C$4, AND(B171&gt;=DATE(2025,4,1), B171&lt;=DATE(2025,4,30)), U171/DDashboard!$C$5,AND(B171&gt;=DATE(2025,5,1), B171&lt;=DATE(2025,5,31)), U171/DDashboard!$C$6,AND(B171&gt;=DATE(2025,6,1), B171&lt;=DATE(2025,6,30)), U171/DDashboard!$C$7,AND(B171&gt;=DATE(2025,7,1), B171&lt;=DATE(2025,7,31)), U171/DDashboard!$C$8,AND(B171&gt;=DATE(2025,8,1), B171&lt;=DATE(2025,8,31)), U171/DDashboard!$C$9,AND(B171&gt;=DATE(2025,9,1), B171&lt;=DATE(2025,9,30)), U171/DDashboard!$C$10,AND(B171&gt;=DATE(2025,10,1), B171&lt;=DATE(2025,10,31)), U171/DDashboard!$C$11,AND(B171&gt;=DATE(2025,11,1), B171&lt;=DATE(2025,11,30)), U171/DDashboard!$C$12, AND(B171&gt;=DATE(2025,12,1), B171&lt;=DATE(2025,12,31)), U171/DDashboard!$C$13, True, "")
</f>
        <v/>
      </c>
      <c r="W171" s="65" t="str">
        <f t="shared" si="3"/>
        <v/>
      </c>
      <c r="X171" s="155"/>
      <c r="Y171" s="156"/>
      <c r="Z171" s="392"/>
      <c r="AA171" s="390"/>
      <c r="AB171" s="359"/>
      <c r="AC171" s="360"/>
      <c r="AD171" s="358"/>
      <c r="AE171" s="359"/>
      <c r="AF171" s="360"/>
      <c r="AG171" s="160" t="str">
        <f t="shared" si="4"/>
        <v/>
      </c>
      <c r="AH171" s="393" t="str">
        <f t="shared" si="5"/>
        <v/>
      </c>
      <c r="AI171" s="161" t="str">
        <f t="shared" si="24"/>
        <v/>
      </c>
      <c r="AJ171" s="365" t="str">
        <f t="shared" si="7"/>
        <v/>
      </c>
      <c r="AK171" s="162" t="str">
        <f t="shared" si="25"/>
        <v/>
      </c>
      <c r="AL171" s="161" t="str">
        <f t="shared" si="22"/>
        <v/>
      </c>
      <c r="AM171" s="163" t="str">
        <f>IF(AN171="", "", IF(AN171="Closed", IF(ISNUMBER(AF171), AF171-B171,IF(ISNUMBER(AC171), AC171-B171,IF(ISNUMBER(Z171), Z171-B171, ""))), TODAY()-B171))
</f>
        <v/>
      </c>
      <c r="AN171" s="381" t="str">
        <f t="shared" si="11"/>
        <v/>
      </c>
      <c r="AO171" s="366" t="str">
        <f t="shared" si="12"/>
        <v/>
      </c>
      <c r="AP171" s="166" t="str">
        <f t="shared" si="13"/>
        <v/>
      </c>
      <c r="AQ171" s="167" t="str">
        <f t="shared" si="26"/>
        <v/>
      </c>
      <c r="AR171" s="168" t="str">
        <f>IFS(AND(B171&gt;=DATE(2025,1,1), B171&lt;=DATE(2025,1,31)), AQ171/DDashboard!$C$2, AND(B171&gt;=DATE(2025,2,1), B171&lt;=DATE(2025,2,28)), AQ171/DDashboard!$C$3, AND(B171&gt;=DATE(2025,3,1), B171&lt;=DATE(2025,3,31)), AQ171/DDashboard!$C$4, AND(B171&gt;=DATE(2025,4,1), B171&lt;=DATE(2025,4,30)), AQ171/DDashboard!$C$5,AND(B171&gt;=DATE(2025,5,1), B171&lt;=DATE(2025,5,31)), AQ171/DDashboard!$C$6,AND(B171&gt;=DATE(2025,6,1), B171&lt;=DATE(2025,6,30)), AQ171/DDashboard!$C$7,AND(B171&gt;=DATE(2025,7,1), B171&lt;=DATE(2025,7,31)), AQ171/DDashboard!$C$8,AND(B171&gt;=DATE(2025,8,1), B171&lt;=DATE(2025,8,31)), AQ171/DDashboard!$C$9,AND(B171&gt;=DATE(2025,9,1), B171&lt;=DATE(2025,9,30)), AQ171/DDashboard!$C$10,AND(B171&gt;=DATE(2025,10,1), B171&lt;=DATE(2025,10,31)), AQ171/DDashboard!$C$11,AND(B171&gt;=DATE(2025,11,1), B171&lt;=DATE(2025,11,30)), AQ171/DDashboard!$C$12, AND(B171&gt;=DATE(2025,12,1), B171&lt;=DATE(2025,12,31)), AQ171/DDashboard!$C$13, True, "")
</f>
        <v/>
      </c>
      <c r="AS171" s="200" t="str">
        <f t="array" ref="AS171">IF(ISBLANK(C171), "", SUM($AR$9:AR171)
)</f>
        <v/>
      </c>
      <c r="AT171" s="169" t="b">
        <v>0</v>
      </c>
      <c r="AU171" s="169"/>
      <c r="AV171" s="169"/>
      <c r="AW171" s="169"/>
      <c r="AX171" s="383"/>
    </row>
    <row r="172">
      <c r="A172" s="388">
        <v>171.0</v>
      </c>
      <c r="B172" s="184"/>
      <c r="C172" s="185"/>
      <c r="D172" s="410"/>
      <c r="E172" s="187"/>
      <c r="F172" s="188"/>
      <c r="G172" s="397" t="str">
        <f t="shared" si="1"/>
        <v/>
      </c>
      <c r="H172" s="402"/>
      <c r="I172" s="402"/>
      <c r="J172" s="187"/>
      <c r="K172" s="145" t="str">
        <f>IFERROR(__xludf.DUMMYFUNCTION("IF(ISBLANK(C172), """", GOOGLEFINANCE(""NSE:"" &amp; C172,""price""))"),"")</f>
        <v/>
      </c>
      <c r="L172" s="213"/>
      <c r="M172" s="193"/>
      <c r="N172" s="194"/>
      <c r="O172" s="195"/>
      <c r="P172" s="196"/>
      <c r="Q172" s="376"/>
      <c r="R172" s="198"/>
      <c r="S172" s="196"/>
      <c r="T172" s="376"/>
      <c r="U172" s="199" t="str">
        <f t="shared" si="23"/>
        <v/>
      </c>
      <c r="V172" s="200" t="str">
        <f>IFS(AND(B172&gt;=DATE(2025,1,1), B172&lt;=DATE(2025,1,31)), U172/DDashboard!$C$2, AND(B172&gt;=DATE(2025,2,1), B172&lt;=DATE(2025,2,28)), U172/DDashboard!$C$3, AND(B172&gt;=DATE(2025,3,1), B172&lt;=DATE(2025,3,31)), U172/DDashboard!$C$4, AND(B172&gt;=DATE(2025,4,1), B172&lt;=DATE(2025,4,30)), U172/DDashboard!$C$5,AND(B172&gt;=DATE(2025,5,1), B172&lt;=DATE(2025,5,31)), U172/DDashboard!$C$6,AND(B172&gt;=DATE(2025,6,1), B172&lt;=DATE(2025,6,30)), U172/DDashboard!$C$7,AND(B172&gt;=DATE(2025,7,1), B172&lt;=DATE(2025,7,31)), U172/DDashboard!$C$8,AND(B172&gt;=DATE(2025,8,1), B172&lt;=DATE(2025,8,31)), U172/DDashboard!$C$9,AND(B172&gt;=DATE(2025,9,1), B172&lt;=DATE(2025,9,30)), U172/DDashboard!$C$10,AND(B172&gt;=DATE(2025,10,1), B172&lt;=DATE(2025,10,31)), U172/DDashboard!$C$11,AND(B172&gt;=DATE(2025,11,1), B172&lt;=DATE(2025,11,30)), U172/DDashboard!$C$12, AND(B172&gt;=DATE(2025,12,1), B172&lt;=DATE(2025,12,31)), U172/DDashboard!$C$13, True, "")
</f>
        <v/>
      </c>
      <c r="W172" s="201" t="str">
        <f t="shared" si="3"/>
        <v/>
      </c>
      <c r="X172" s="202"/>
      <c r="Y172" s="203"/>
      <c r="Z172" s="391"/>
      <c r="AA172" s="198"/>
      <c r="AB172" s="222"/>
      <c r="AC172" s="223"/>
      <c r="AD172" s="195"/>
      <c r="AE172" s="222"/>
      <c r="AF172" s="223"/>
      <c r="AG172" s="206" t="str">
        <f t="shared" si="4"/>
        <v/>
      </c>
      <c r="AH172" s="385" t="str">
        <f t="shared" si="5"/>
        <v/>
      </c>
      <c r="AI172" s="207" t="str">
        <f t="shared" si="24"/>
        <v/>
      </c>
      <c r="AJ172" s="367" t="str">
        <f t="shared" si="7"/>
        <v/>
      </c>
      <c r="AK172" s="208" t="str">
        <f t="shared" si="25"/>
        <v/>
      </c>
      <c r="AL172" s="207" t="str">
        <f t="shared" si="22"/>
        <v/>
      </c>
      <c r="AM172" s="209" t="str">
        <f>IF(AN172="", "", IF(AN172="Closed", 
    IF(ISNUMBER(AF172), AF172-B172,
        IF(ISNUMBER(AC172), AC172-B172,
            IF(ISNUMBER(Z172), Z172-B172, "")
        )
    ), 
    TODAY()-B172))</f>
        <v/>
      </c>
      <c r="AN172" s="386" t="str">
        <f t="shared" si="11"/>
        <v/>
      </c>
      <c r="AO172" s="366" t="str">
        <f t="shared" si="12"/>
        <v/>
      </c>
      <c r="AP172" s="210" t="str">
        <f t="shared" si="13"/>
        <v/>
      </c>
      <c r="AQ172" s="196" t="str">
        <f t="shared" si="26"/>
        <v/>
      </c>
      <c r="AR172" s="168" t="str">
        <f>IFS(AND(B172&gt;=DATE(2025,1,1), B172&lt;=DATE(2025,1,31)), AQ172/DDashboard!$C$2, AND(B172&gt;=DATE(2025,2,1), B172&lt;=DATE(2025,2,28)), AQ172/DDashboard!$C$3, AND(B172&gt;=DATE(2025,3,1), B172&lt;=DATE(2025,3,31)), AQ172/DDashboard!$C$4, AND(B172&gt;=DATE(2025,4,1), B172&lt;=DATE(2025,4,30)), AQ172/DDashboard!$C$5,AND(B172&gt;=DATE(2025,5,1), B172&lt;=DATE(2025,5,31)), AQ172/DDashboard!$C$6,AND(B172&gt;=DATE(2025,6,1), B172&lt;=DATE(2025,6,30)), AQ172/DDashboard!$C$7,AND(B172&gt;=DATE(2025,7,1), B172&lt;=DATE(2025,7,31)), AQ172/DDashboard!$C$8,AND(B172&gt;=DATE(2025,8,1), B172&lt;=DATE(2025,8,31)), AQ172/DDashboard!$C$9,AND(B172&gt;=DATE(2025,9,1), B172&lt;=DATE(2025,9,30)), AQ172/DDashboard!$C$10,AND(B172&gt;=DATE(2025,10,1), B172&lt;=DATE(2025,10,31)), AQ172/DDashboard!$C$11,AND(B172&gt;=DATE(2025,11,1), B172&lt;=DATE(2025,11,30)), AQ172/DDashboard!$C$12, AND(B172&gt;=DATE(2025,12,1), B172&lt;=DATE(2025,12,31)), AQ172/DDashboard!$C$13, True, "")
</f>
        <v/>
      </c>
      <c r="AS172" s="200" t="str">
        <f t="array" ref="AS172">IF(ISBLANK(C172), "", SUM($AR$9:AR172)
)</f>
        <v/>
      </c>
      <c r="AT172" s="169" t="b">
        <v>0</v>
      </c>
      <c r="AU172" s="169"/>
      <c r="AV172" s="169"/>
      <c r="AW172" s="169"/>
      <c r="AX172" s="387"/>
    </row>
    <row r="173">
      <c r="A173" s="389">
        <v>172.0</v>
      </c>
      <c r="B173" s="138"/>
      <c r="C173" s="139"/>
      <c r="D173" s="393"/>
      <c r="E173" s="403"/>
      <c r="F173" s="142"/>
      <c r="G173" s="398" t="str">
        <f t="shared" si="1"/>
        <v/>
      </c>
      <c r="H173" s="144"/>
      <c r="I173" s="144"/>
      <c r="J173" s="141"/>
      <c r="K173" s="145" t="str">
        <f>IFERROR(__xludf.DUMMYFUNCTION("IF(ISBLANK(C173), """", GOOGLEFINANCE(""NSE:"" &amp; C173,""price""))"),"")</f>
        <v/>
      </c>
      <c r="L173" s="146"/>
      <c r="M173" s="147"/>
      <c r="N173" s="148"/>
      <c r="O173" s="225"/>
      <c r="P173" s="226"/>
      <c r="Q173" s="368"/>
      <c r="R173" s="152"/>
      <c r="S173" s="150"/>
      <c r="T173" s="377"/>
      <c r="U173" s="153" t="str">
        <f t="shared" si="23"/>
        <v/>
      </c>
      <c r="V173" s="154" t="str">
        <f>IFS(AND(B173&gt;=DATE(2025,1,1), B173&lt;=DATE(2025,1,31)), U173/DDashboard!$C$2, AND(B173&gt;=DATE(2025,2,1), B173&lt;=DATE(2025,2,28)), U173/DDashboard!$C$3, AND(B173&gt;=DATE(2025,3,1), B173&lt;=DATE(2025,3,31)), U173/DDashboard!$C$4, AND(B173&gt;=DATE(2025,4,1), B173&lt;=DATE(2025,4,30)), U173/DDashboard!$C$5,AND(B173&gt;=DATE(2025,5,1), B173&lt;=DATE(2025,5,31)), U173/DDashboard!$C$6,AND(B173&gt;=DATE(2025,6,1), B173&lt;=DATE(2025,6,30)), U173/DDashboard!$C$7,AND(B173&gt;=DATE(2025,7,1), B173&lt;=DATE(2025,7,31)), U173/DDashboard!$C$8,AND(B173&gt;=DATE(2025,8,1), B173&lt;=DATE(2025,8,31)), U173/DDashboard!$C$9,AND(B173&gt;=DATE(2025,9,1), B173&lt;=DATE(2025,9,30)), U173/DDashboard!$C$10,AND(B173&gt;=DATE(2025,10,1), B173&lt;=DATE(2025,10,31)), U173/DDashboard!$C$11,AND(B173&gt;=DATE(2025,11,1), B173&lt;=DATE(2025,11,30)), U173/DDashboard!$C$12, AND(B173&gt;=DATE(2025,12,1), B173&lt;=DATE(2025,12,31)), U173/DDashboard!$C$13, True, "")
</f>
        <v/>
      </c>
      <c r="W173" s="65" t="str">
        <f t="shared" si="3"/>
        <v/>
      </c>
      <c r="X173" s="155"/>
      <c r="Y173" s="156"/>
      <c r="Z173" s="392"/>
      <c r="AA173" s="155"/>
      <c r="AB173" s="156"/>
      <c r="AC173" s="375"/>
      <c r="AD173" s="159"/>
      <c r="AE173" s="156"/>
      <c r="AF173" s="375"/>
      <c r="AG173" s="160" t="str">
        <f t="shared" si="4"/>
        <v/>
      </c>
      <c r="AH173" s="393" t="str">
        <f t="shared" si="5"/>
        <v/>
      </c>
      <c r="AI173" s="161" t="str">
        <f t="shared" si="24"/>
        <v/>
      </c>
      <c r="AJ173" s="365" t="str">
        <f t="shared" si="7"/>
        <v/>
      </c>
      <c r="AK173" s="162" t="str">
        <f t="shared" si="25"/>
        <v/>
      </c>
      <c r="AL173" s="161" t="str">
        <f t="shared" si="22"/>
        <v/>
      </c>
      <c r="AM173" s="163" t="str">
        <f>IF(AN173="", "", IF(AN173="Closed", IF(ISNUMBER(AF173), AF173-B173,IF(ISNUMBER(AC173), AC173-B173,IF(ISNUMBER(Z173), Z173-B173, ""))), TODAY()-B173))
</f>
        <v/>
      </c>
      <c r="AN173" s="381" t="str">
        <f t="shared" si="11"/>
        <v/>
      </c>
      <c r="AO173" s="366" t="str">
        <f t="shared" si="12"/>
        <v/>
      </c>
      <c r="AP173" s="166" t="str">
        <f t="shared" si="13"/>
        <v/>
      </c>
      <c r="AQ173" s="167" t="str">
        <f t="shared" si="26"/>
        <v/>
      </c>
      <c r="AR173" s="168" t="str">
        <f>IFS(AND(B173&gt;=DATE(2025,1,1), B173&lt;=DATE(2025,1,31)), AQ173/DDashboard!$C$2, AND(B173&gt;=DATE(2025,2,1), B173&lt;=DATE(2025,2,28)), AQ173/DDashboard!$C$3, AND(B173&gt;=DATE(2025,3,1), B173&lt;=DATE(2025,3,31)), AQ173/DDashboard!$C$4, AND(B173&gt;=DATE(2025,4,1), B173&lt;=DATE(2025,4,30)), AQ173/DDashboard!$C$5,AND(B173&gt;=DATE(2025,5,1), B173&lt;=DATE(2025,5,31)), AQ173/DDashboard!$C$6,AND(B173&gt;=DATE(2025,6,1), B173&lt;=DATE(2025,6,30)), AQ173/DDashboard!$C$7,AND(B173&gt;=DATE(2025,7,1), B173&lt;=DATE(2025,7,31)), AQ173/DDashboard!$C$8,AND(B173&gt;=DATE(2025,8,1), B173&lt;=DATE(2025,8,31)), AQ173/DDashboard!$C$9,AND(B173&gt;=DATE(2025,9,1), B173&lt;=DATE(2025,9,30)), AQ173/DDashboard!$C$10,AND(B173&gt;=DATE(2025,10,1), B173&lt;=DATE(2025,10,31)), AQ173/DDashboard!$C$11,AND(B173&gt;=DATE(2025,11,1), B173&lt;=DATE(2025,11,30)), AQ173/DDashboard!$C$12, AND(B173&gt;=DATE(2025,12,1), B173&lt;=DATE(2025,12,31)), AQ173/DDashboard!$C$13, True, "")
</f>
        <v/>
      </c>
      <c r="AS173" s="200" t="str">
        <f t="array" ref="AS173">IF(ISBLANK(C173), "", SUM($AR$9:AR173)
)</f>
        <v/>
      </c>
      <c r="AT173" s="169" t="b">
        <v>0</v>
      </c>
      <c r="AU173" s="169"/>
      <c r="AV173" s="169"/>
      <c r="AW173" s="169"/>
      <c r="AX173" s="183"/>
    </row>
    <row r="174">
      <c r="A174" s="388">
        <v>173.0</v>
      </c>
      <c r="B174" s="184"/>
      <c r="C174" s="185"/>
      <c r="D174" s="385"/>
      <c r="E174" s="404"/>
      <c r="F174" s="411"/>
      <c r="G174" s="397" t="str">
        <f t="shared" si="1"/>
        <v/>
      </c>
      <c r="H174" s="190"/>
      <c r="I174" s="402"/>
      <c r="J174" s="187"/>
      <c r="K174" s="145" t="str">
        <f>IFERROR(__xludf.DUMMYFUNCTION("IF(ISBLANK(C174), """", GOOGLEFINANCE(""NSE:"" &amp; C174,""price""))"),"")</f>
        <v/>
      </c>
      <c r="L174" s="213"/>
      <c r="M174" s="193"/>
      <c r="N174" s="194"/>
      <c r="O174" s="205"/>
      <c r="P174" s="196"/>
      <c r="Q174" s="376"/>
      <c r="R174" s="198"/>
      <c r="S174" s="196"/>
      <c r="T174" s="376"/>
      <c r="U174" s="199" t="str">
        <f t="shared" si="23"/>
        <v/>
      </c>
      <c r="V174" s="200" t="str">
        <f>IFS(AND(B174&gt;=DATE(2025,1,1), B174&lt;=DATE(2025,1,31)), U174/DDashboard!$C$2, AND(B174&gt;=DATE(2025,2,1), B174&lt;=DATE(2025,2,28)), U174/DDashboard!$C$3, AND(B174&gt;=DATE(2025,3,1), B174&lt;=DATE(2025,3,31)), U174/DDashboard!$C$4, AND(B174&gt;=DATE(2025,4,1), B174&lt;=DATE(2025,4,30)), U174/DDashboard!$C$5,AND(B174&gt;=DATE(2025,5,1), B174&lt;=DATE(2025,5,31)), U174/DDashboard!$C$6,AND(B174&gt;=DATE(2025,6,1), B174&lt;=DATE(2025,6,30)), U174/DDashboard!$C$7,AND(B174&gt;=DATE(2025,7,1), B174&lt;=DATE(2025,7,31)), U174/DDashboard!$C$8,AND(B174&gt;=DATE(2025,8,1), B174&lt;=DATE(2025,8,31)), U174/DDashboard!$C$9,AND(B174&gt;=DATE(2025,9,1), B174&lt;=DATE(2025,9,30)), U174/DDashboard!$C$10,AND(B174&gt;=DATE(2025,10,1), B174&lt;=DATE(2025,10,31)), U174/DDashboard!$C$11,AND(B174&gt;=DATE(2025,11,1), B174&lt;=DATE(2025,11,30)), U174/DDashboard!$C$12, AND(B174&gt;=DATE(2025,12,1), B174&lt;=DATE(2025,12,31)), U174/DDashboard!$C$13, True, "")
</f>
        <v/>
      </c>
      <c r="W174" s="201" t="str">
        <f t="shared" si="3"/>
        <v/>
      </c>
      <c r="X174" s="202"/>
      <c r="Y174" s="203"/>
      <c r="Z174" s="391"/>
      <c r="AA174" s="198"/>
      <c r="AB174" s="222"/>
      <c r="AC174" s="223"/>
      <c r="AD174" s="195"/>
      <c r="AE174" s="222"/>
      <c r="AF174" s="223"/>
      <c r="AG174" s="206" t="str">
        <f t="shared" si="4"/>
        <v/>
      </c>
      <c r="AH174" s="385" t="str">
        <f t="shared" si="5"/>
        <v/>
      </c>
      <c r="AI174" s="207" t="str">
        <f t="shared" si="24"/>
        <v/>
      </c>
      <c r="AJ174" s="367" t="str">
        <f t="shared" si="7"/>
        <v/>
      </c>
      <c r="AK174" s="208" t="str">
        <f t="shared" si="25"/>
        <v/>
      </c>
      <c r="AL174" s="207" t="str">
        <f t="shared" si="22"/>
        <v/>
      </c>
      <c r="AM174" s="209" t="str">
        <f>IF(AN174="", "", IF(AN174="Closed", 
    IF(ISNUMBER(AF174), AF174-B174,
        IF(ISNUMBER(AC174), AC174-B174,
            IF(ISNUMBER(Z174), Z174-B174, "")
        )
    ), 
    TODAY()-B174))</f>
        <v/>
      </c>
      <c r="AN174" s="386" t="str">
        <f t="shared" si="11"/>
        <v/>
      </c>
      <c r="AO174" s="366" t="str">
        <f t="shared" si="12"/>
        <v/>
      </c>
      <c r="AP174" s="210" t="str">
        <f t="shared" si="13"/>
        <v/>
      </c>
      <c r="AQ174" s="196" t="str">
        <f t="shared" si="26"/>
        <v/>
      </c>
      <c r="AR174" s="168" t="str">
        <f>IFS(AND(B174&gt;=DATE(2025,1,1), B174&lt;=DATE(2025,1,31)), AQ174/DDashboard!$C$2, AND(B174&gt;=DATE(2025,2,1), B174&lt;=DATE(2025,2,28)), AQ174/DDashboard!$C$3, AND(B174&gt;=DATE(2025,3,1), B174&lt;=DATE(2025,3,31)), AQ174/DDashboard!$C$4, AND(B174&gt;=DATE(2025,4,1), B174&lt;=DATE(2025,4,30)), AQ174/DDashboard!$C$5,AND(B174&gt;=DATE(2025,5,1), B174&lt;=DATE(2025,5,31)), AQ174/DDashboard!$C$6,AND(B174&gt;=DATE(2025,6,1), B174&lt;=DATE(2025,6,30)), AQ174/DDashboard!$C$7,AND(B174&gt;=DATE(2025,7,1), B174&lt;=DATE(2025,7,31)), AQ174/DDashboard!$C$8,AND(B174&gt;=DATE(2025,8,1), B174&lt;=DATE(2025,8,31)), AQ174/DDashboard!$C$9,AND(B174&gt;=DATE(2025,9,1), B174&lt;=DATE(2025,9,30)), AQ174/DDashboard!$C$10,AND(B174&gt;=DATE(2025,10,1), B174&lt;=DATE(2025,10,31)), AQ174/DDashboard!$C$11,AND(B174&gt;=DATE(2025,11,1), B174&lt;=DATE(2025,11,30)), AQ174/DDashboard!$C$12, AND(B174&gt;=DATE(2025,12,1), B174&lt;=DATE(2025,12,31)), AQ174/DDashboard!$C$13, True, "")
</f>
        <v/>
      </c>
      <c r="AS174" s="200" t="str">
        <f t="array" ref="AS174">IF(ISBLANK(C174), "", SUM($AR$9:AR174)
)</f>
        <v/>
      </c>
      <c r="AT174" s="169" t="b">
        <v>0</v>
      </c>
      <c r="AU174" s="169"/>
      <c r="AV174" s="169"/>
      <c r="AW174" s="169"/>
      <c r="AX174" s="387"/>
    </row>
    <row r="175">
      <c r="A175" s="389">
        <v>174.0</v>
      </c>
      <c r="B175" s="138"/>
      <c r="C175" s="139"/>
      <c r="D175" s="409"/>
      <c r="E175" s="141"/>
      <c r="F175" s="142"/>
      <c r="G175" s="398" t="str">
        <f t="shared" si="1"/>
        <v/>
      </c>
      <c r="H175" s="399"/>
      <c r="I175" s="399"/>
      <c r="J175" s="141"/>
      <c r="K175" s="145" t="str">
        <f>IFERROR(__xludf.DUMMYFUNCTION("IF(ISBLANK(C175), """", GOOGLEFINANCE(""NSE:"" &amp; C175,""price""))"),"")</f>
        <v/>
      </c>
      <c r="L175" s="146"/>
      <c r="M175" s="147"/>
      <c r="N175" s="148"/>
      <c r="O175" s="149"/>
      <c r="P175" s="150"/>
      <c r="Q175" s="377"/>
      <c r="R175" s="152"/>
      <c r="S175" s="150"/>
      <c r="T175" s="377"/>
      <c r="U175" s="153" t="str">
        <f t="shared" si="23"/>
        <v/>
      </c>
      <c r="V175" s="154" t="str">
        <f>IFS(AND(B175&gt;=DATE(2025,1,1), B175&lt;=DATE(2025,1,31)), U175/DDashboard!$C$2, AND(B175&gt;=DATE(2025,2,1), B175&lt;=DATE(2025,2,28)), U175/DDashboard!$C$3, AND(B175&gt;=DATE(2025,3,1), B175&lt;=DATE(2025,3,31)), U175/DDashboard!$C$4, AND(B175&gt;=DATE(2025,4,1), B175&lt;=DATE(2025,4,30)), U175/DDashboard!$C$5,AND(B175&gt;=DATE(2025,5,1), B175&lt;=DATE(2025,5,31)), U175/DDashboard!$C$6,AND(B175&gt;=DATE(2025,6,1), B175&lt;=DATE(2025,6,30)), U175/DDashboard!$C$7,AND(B175&gt;=DATE(2025,7,1), B175&lt;=DATE(2025,7,31)), U175/DDashboard!$C$8,AND(B175&gt;=DATE(2025,8,1), B175&lt;=DATE(2025,8,31)), U175/DDashboard!$C$9,AND(B175&gt;=DATE(2025,9,1), B175&lt;=DATE(2025,9,30)), U175/DDashboard!$C$10,AND(B175&gt;=DATE(2025,10,1), B175&lt;=DATE(2025,10,31)), U175/DDashboard!$C$11,AND(B175&gt;=DATE(2025,11,1), B175&lt;=DATE(2025,11,30)), U175/DDashboard!$C$12, AND(B175&gt;=DATE(2025,12,1), B175&lt;=DATE(2025,12,31)), U175/DDashboard!$C$13, True, "")
</f>
        <v/>
      </c>
      <c r="W175" s="65" t="str">
        <f t="shared" si="3"/>
        <v/>
      </c>
      <c r="X175" s="155"/>
      <c r="Y175" s="156"/>
      <c r="Z175" s="392"/>
      <c r="AA175" s="390"/>
      <c r="AB175" s="359"/>
      <c r="AC175" s="360"/>
      <c r="AD175" s="358"/>
      <c r="AE175" s="359"/>
      <c r="AF175" s="360"/>
      <c r="AG175" s="160" t="str">
        <f t="shared" si="4"/>
        <v/>
      </c>
      <c r="AH175" s="393" t="str">
        <f t="shared" si="5"/>
        <v/>
      </c>
      <c r="AI175" s="161" t="str">
        <f t="shared" si="24"/>
        <v/>
      </c>
      <c r="AJ175" s="365" t="str">
        <f t="shared" si="7"/>
        <v/>
      </c>
      <c r="AK175" s="162" t="str">
        <f t="shared" si="25"/>
        <v/>
      </c>
      <c r="AL175" s="161" t="str">
        <f t="shared" si="22"/>
        <v/>
      </c>
      <c r="AM175" s="163" t="str">
        <f>IF(AN175="", "", IF(AN175="Closed", IF(ISNUMBER(AF175), AF175-B175,IF(ISNUMBER(AC175), AC175-B175,IF(ISNUMBER(Z175), Z175-B175, ""))), TODAY()-B175))
</f>
        <v/>
      </c>
      <c r="AN175" s="381" t="str">
        <f t="shared" si="11"/>
        <v/>
      </c>
      <c r="AO175" s="366" t="str">
        <f t="shared" si="12"/>
        <v/>
      </c>
      <c r="AP175" s="166" t="str">
        <f t="shared" si="13"/>
        <v/>
      </c>
      <c r="AQ175" s="167" t="str">
        <f t="shared" si="26"/>
        <v/>
      </c>
      <c r="AR175" s="168" t="str">
        <f>IFS(AND(B175&gt;=DATE(2025,1,1), B175&lt;=DATE(2025,1,31)), AQ175/DDashboard!$C$2, AND(B175&gt;=DATE(2025,2,1), B175&lt;=DATE(2025,2,28)), AQ175/DDashboard!$C$3, AND(B175&gt;=DATE(2025,3,1), B175&lt;=DATE(2025,3,31)), AQ175/DDashboard!$C$4, AND(B175&gt;=DATE(2025,4,1), B175&lt;=DATE(2025,4,30)), AQ175/DDashboard!$C$5,AND(B175&gt;=DATE(2025,5,1), B175&lt;=DATE(2025,5,31)), AQ175/DDashboard!$C$6,AND(B175&gt;=DATE(2025,6,1), B175&lt;=DATE(2025,6,30)), AQ175/DDashboard!$C$7,AND(B175&gt;=DATE(2025,7,1), B175&lt;=DATE(2025,7,31)), AQ175/DDashboard!$C$8,AND(B175&gt;=DATE(2025,8,1), B175&lt;=DATE(2025,8,31)), AQ175/DDashboard!$C$9,AND(B175&gt;=DATE(2025,9,1), B175&lt;=DATE(2025,9,30)), AQ175/DDashboard!$C$10,AND(B175&gt;=DATE(2025,10,1), B175&lt;=DATE(2025,10,31)), AQ175/DDashboard!$C$11,AND(B175&gt;=DATE(2025,11,1), B175&lt;=DATE(2025,11,30)), AQ175/DDashboard!$C$12, AND(B175&gt;=DATE(2025,12,1), B175&lt;=DATE(2025,12,31)), AQ175/DDashboard!$C$13, True, "")
</f>
        <v/>
      </c>
      <c r="AS175" s="200" t="str">
        <f t="array" ref="AS175">IF(ISBLANK(C175), "", SUM($AR$9:AR175)
)</f>
        <v/>
      </c>
      <c r="AT175" s="169" t="b">
        <v>0</v>
      </c>
      <c r="AU175" s="169"/>
      <c r="AV175" s="169"/>
      <c r="AW175" s="169"/>
      <c r="AX175" s="383"/>
    </row>
    <row r="176">
      <c r="A176" s="388">
        <v>175.0</v>
      </c>
      <c r="B176" s="184"/>
      <c r="C176" s="185"/>
      <c r="D176" s="410"/>
      <c r="E176" s="187"/>
      <c r="F176" s="188"/>
      <c r="G176" s="397" t="str">
        <f t="shared" si="1"/>
        <v/>
      </c>
      <c r="H176" s="402"/>
      <c r="I176" s="402"/>
      <c r="J176" s="187"/>
      <c r="K176" s="145" t="str">
        <f>IFERROR(__xludf.DUMMYFUNCTION("IF(ISBLANK(C176), """", GOOGLEFINANCE(""NSE:"" &amp; C176,""price""))"),"")</f>
        <v/>
      </c>
      <c r="L176" s="213"/>
      <c r="M176" s="193"/>
      <c r="N176" s="194"/>
      <c r="O176" s="195"/>
      <c r="P176" s="196"/>
      <c r="Q176" s="376"/>
      <c r="R176" s="198"/>
      <c r="S176" s="196"/>
      <c r="T176" s="376"/>
      <c r="U176" s="199" t="str">
        <f t="shared" si="23"/>
        <v/>
      </c>
      <c r="V176" s="200" t="str">
        <f>IFS(AND(B176&gt;=DATE(2025,1,1), B176&lt;=DATE(2025,1,31)), U176/DDashboard!$C$2, AND(B176&gt;=DATE(2025,2,1), B176&lt;=DATE(2025,2,28)), U176/DDashboard!$C$3, AND(B176&gt;=DATE(2025,3,1), B176&lt;=DATE(2025,3,31)), U176/DDashboard!$C$4, AND(B176&gt;=DATE(2025,4,1), B176&lt;=DATE(2025,4,30)), U176/DDashboard!$C$5,AND(B176&gt;=DATE(2025,5,1), B176&lt;=DATE(2025,5,31)), U176/DDashboard!$C$6,AND(B176&gt;=DATE(2025,6,1), B176&lt;=DATE(2025,6,30)), U176/DDashboard!$C$7,AND(B176&gt;=DATE(2025,7,1), B176&lt;=DATE(2025,7,31)), U176/DDashboard!$C$8,AND(B176&gt;=DATE(2025,8,1), B176&lt;=DATE(2025,8,31)), U176/DDashboard!$C$9,AND(B176&gt;=DATE(2025,9,1), B176&lt;=DATE(2025,9,30)), U176/DDashboard!$C$10,AND(B176&gt;=DATE(2025,10,1), B176&lt;=DATE(2025,10,31)), U176/DDashboard!$C$11,AND(B176&gt;=DATE(2025,11,1), B176&lt;=DATE(2025,11,30)), U176/DDashboard!$C$12, AND(B176&gt;=DATE(2025,12,1), B176&lt;=DATE(2025,12,31)), U176/DDashboard!$C$13, True, "")
</f>
        <v/>
      </c>
      <c r="W176" s="201" t="str">
        <f t="shared" si="3"/>
        <v/>
      </c>
      <c r="X176" s="202"/>
      <c r="Y176" s="203"/>
      <c r="Z176" s="391"/>
      <c r="AA176" s="198"/>
      <c r="AB176" s="222"/>
      <c r="AC176" s="223"/>
      <c r="AD176" s="195"/>
      <c r="AE176" s="222"/>
      <c r="AF176" s="223"/>
      <c r="AG176" s="206" t="str">
        <f t="shared" si="4"/>
        <v/>
      </c>
      <c r="AH176" s="385" t="str">
        <f t="shared" si="5"/>
        <v/>
      </c>
      <c r="AI176" s="207" t="str">
        <f t="shared" si="24"/>
        <v/>
      </c>
      <c r="AJ176" s="367" t="str">
        <f t="shared" si="7"/>
        <v/>
      </c>
      <c r="AK176" s="208" t="str">
        <f t="shared" si="25"/>
        <v/>
      </c>
      <c r="AL176" s="207" t="str">
        <f t="shared" si="22"/>
        <v/>
      </c>
      <c r="AM176" s="209" t="str">
        <f>IF(AN176="", "", IF(AN176="Closed", 
    IF(ISNUMBER(AF176), AF176-B176,
        IF(ISNUMBER(AC176), AC176-B176,
            IF(ISNUMBER(Z176), Z176-B176, "")
        )
    ), 
    TODAY()-B176))</f>
        <v/>
      </c>
      <c r="AN176" s="386" t="str">
        <f t="shared" si="11"/>
        <v/>
      </c>
      <c r="AO176" s="366" t="str">
        <f t="shared" si="12"/>
        <v/>
      </c>
      <c r="AP176" s="210" t="str">
        <f t="shared" si="13"/>
        <v/>
      </c>
      <c r="AQ176" s="196" t="str">
        <f t="shared" si="26"/>
        <v/>
      </c>
      <c r="AR176" s="168" t="str">
        <f>IFS(AND(B176&gt;=DATE(2025,1,1), B176&lt;=DATE(2025,1,31)), AQ176/DDashboard!$C$2, AND(B176&gt;=DATE(2025,2,1), B176&lt;=DATE(2025,2,28)), AQ176/DDashboard!$C$3, AND(B176&gt;=DATE(2025,3,1), B176&lt;=DATE(2025,3,31)), AQ176/DDashboard!$C$4, AND(B176&gt;=DATE(2025,4,1), B176&lt;=DATE(2025,4,30)), AQ176/DDashboard!$C$5,AND(B176&gt;=DATE(2025,5,1), B176&lt;=DATE(2025,5,31)), AQ176/DDashboard!$C$6,AND(B176&gt;=DATE(2025,6,1), B176&lt;=DATE(2025,6,30)), AQ176/DDashboard!$C$7,AND(B176&gt;=DATE(2025,7,1), B176&lt;=DATE(2025,7,31)), AQ176/DDashboard!$C$8,AND(B176&gt;=DATE(2025,8,1), B176&lt;=DATE(2025,8,31)), AQ176/DDashboard!$C$9,AND(B176&gt;=DATE(2025,9,1), B176&lt;=DATE(2025,9,30)), AQ176/DDashboard!$C$10,AND(B176&gt;=DATE(2025,10,1), B176&lt;=DATE(2025,10,31)), AQ176/DDashboard!$C$11,AND(B176&gt;=DATE(2025,11,1), B176&lt;=DATE(2025,11,30)), AQ176/DDashboard!$C$12, AND(B176&gt;=DATE(2025,12,1), B176&lt;=DATE(2025,12,31)), AQ176/DDashboard!$C$13, True, "")
</f>
        <v/>
      </c>
      <c r="AS176" s="200" t="str">
        <f t="array" ref="AS176">IF(ISBLANK(C176), "", SUM($AR$9:AR176)
)</f>
        <v/>
      </c>
      <c r="AT176" s="169" t="b">
        <v>0</v>
      </c>
      <c r="AU176" s="169"/>
      <c r="AV176" s="169"/>
      <c r="AW176" s="169"/>
      <c r="AX176" s="387"/>
    </row>
    <row r="177">
      <c r="A177" s="389">
        <v>176.0</v>
      </c>
      <c r="B177" s="138"/>
      <c r="C177" s="139"/>
      <c r="D177" s="409"/>
      <c r="E177" s="141"/>
      <c r="F177" s="142"/>
      <c r="G177" s="398" t="str">
        <f t="shared" si="1"/>
        <v/>
      </c>
      <c r="H177" s="399"/>
      <c r="I177" s="399"/>
      <c r="J177" s="141"/>
      <c r="K177" s="145" t="str">
        <f>IFERROR(__xludf.DUMMYFUNCTION("IF(ISBLANK(C177), """", GOOGLEFINANCE(""NSE:"" &amp; C177,""price""))"),"")</f>
        <v/>
      </c>
      <c r="L177" s="146"/>
      <c r="M177" s="147"/>
      <c r="N177" s="148"/>
      <c r="O177" s="149"/>
      <c r="P177" s="150"/>
      <c r="Q177" s="377"/>
      <c r="R177" s="152"/>
      <c r="S177" s="150"/>
      <c r="T177" s="377"/>
      <c r="U177" s="153" t="str">
        <f t="shared" si="23"/>
        <v/>
      </c>
      <c r="V177" s="154" t="str">
        <f>IFS(AND(B177&gt;=DATE(2025,1,1), B177&lt;=DATE(2025,1,31)), U177/DDashboard!$C$2, AND(B177&gt;=DATE(2025,2,1), B177&lt;=DATE(2025,2,28)), U177/DDashboard!$C$3, AND(B177&gt;=DATE(2025,3,1), B177&lt;=DATE(2025,3,31)), U177/DDashboard!$C$4, AND(B177&gt;=DATE(2025,4,1), B177&lt;=DATE(2025,4,30)), U177/DDashboard!$C$5,AND(B177&gt;=DATE(2025,5,1), B177&lt;=DATE(2025,5,31)), U177/DDashboard!$C$6,AND(B177&gt;=DATE(2025,6,1), B177&lt;=DATE(2025,6,30)), U177/DDashboard!$C$7,AND(B177&gt;=DATE(2025,7,1), B177&lt;=DATE(2025,7,31)), U177/DDashboard!$C$8,AND(B177&gt;=DATE(2025,8,1), B177&lt;=DATE(2025,8,31)), U177/DDashboard!$C$9,AND(B177&gt;=DATE(2025,9,1), B177&lt;=DATE(2025,9,30)), U177/DDashboard!$C$10,AND(B177&gt;=DATE(2025,10,1), B177&lt;=DATE(2025,10,31)), U177/DDashboard!$C$11,AND(B177&gt;=DATE(2025,11,1), B177&lt;=DATE(2025,11,30)), U177/DDashboard!$C$12, AND(B177&gt;=DATE(2025,12,1), B177&lt;=DATE(2025,12,31)), U177/DDashboard!$C$13, True, "")
</f>
        <v/>
      </c>
      <c r="W177" s="65" t="str">
        <f t="shared" si="3"/>
        <v/>
      </c>
      <c r="X177" s="155"/>
      <c r="Y177" s="156"/>
      <c r="Z177" s="392"/>
      <c r="AA177" s="390"/>
      <c r="AB177" s="359"/>
      <c r="AC177" s="360"/>
      <c r="AD177" s="358"/>
      <c r="AE177" s="359"/>
      <c r="AF177" s="360"/>
      <c r="AG177" s="160" t="str">
        <f t="shared" si="4"/>
        <v/>
      </c>
      <c r="AH177" s="393" t="str">
        <f t="shared" si="5"/>
        <v/>
      </c>
      <c r="AI177" s="161" t="str">
        <f t="shared" si="24"/>
        <v/>
      </c>
      <c r="AJ177" s="365" t="str">
        <f t="shared" si="7"/>
        <v/>
      </c>
      <c r="AK177" s="162" t="str">
        <f t="shared" si="25"/>
        <v/>
      </c>
      <c r="AL177" s="161" t="str">
        <f t="shared" si="22"/>
        <v/>
      </c>
      <c r="AM177" s="163" t="str">
        <f>IF(AN177="", "", IF(AN177="Closed", IF(ISNUMBER(AF177), AF177-B177,IF(ISNUMBER(AC177), AC177-B177,IF(ISNUMBER(Z177), Z177-B177, ""))), TODAY()-B177))
</f>
        <v/>
      </c>
      <c r="AN177" s="381" t="str">
        <f t="shared" si="11"/>
        <v/>
      </c>
      <c r="AO177" s="366" t="str">
        <f t="shared" si="12"/>
        <v/>
      </c>
      <c r="AP177" s="166" t="str">
        <f t="shared" si="13"/>
        <v/>
      </c>
      <c r="AQ177" s="167" t="str">
        <f t="shared" si="26"/>
        <v/>
      </c>
      <c r="AR177" s="168" t="str">
        <f>IFS(AND(B177&gt;=DATE(2025,1,1), B177&lt;=DATE(2025,1,31)), AQ177/DDashboard!$C$2, AND(B177&gt;=DATE(2025,2,1), B177&lt;=DATE(2025,2,28)), AQ177/DDashboard!$C$3, AND(B177&gt;=DATE(2025,3,1), B177&lt;=DATE(2025,3,31)), AQ177/DDashboard!$C$4, AND(B177&gt;=DATE(2025,4,1), B177&lt;=DATE(2025,4,30)), AQ177/DDashboard!$C$5,AND(B177&gt;=DATE(2025,5,1), B177&lt;=DATE(2025,5,31)), AQ177/DDashboard!$C$6,AND(B177&gt;=DATE(2025,6,1), B177&lt;=DATE(2025,6,30)), AQ177/DDashboard!$C$7,AND(B177&gt;=DATE(2025,7,1), B177&lt;=DATE(2025,7,31)), AQ177/DDashboard!$C$8,AND(B177&gt;=DATE(2025,8,1), B177&lt;=DATE(2025,8,31)), AQ177/DDashboard!$C$9,AND(B177&gt;=DATE(2025,9,1), B177&lt;=DATE(2025,9,30)), AQ177/DDashboard!$C$10,AND(B177&gt;=DATE(2025,10,1), B177&lt;=DATE(2025,10,31)), AQ177/DDashboard!$C$11,AND(B177&gt;=DATE(2025,11,1), B177&lt;=DATE(2025,11,30)), AQ177/DDashboard!$C$12, AND(B177&gt;=DATE(2025,12,1), B177&lt;=DATE(2025,12,31)), AQ177/DDashboard!$C$13, True, "")
</f>
        <v/>
      </c>
      <c r="AS177" s="200" t="str">
        <f t="array" ref="AS177">IF(ISBLANK(C177), "", SUM($AR$9:AR177)
)</f>
        <v/>
      </c>
      <c r="AT177" s="169" t="b">
        <v>0</v>
      </c>
      <c r="AU177" s="169"/>
      <c r="AV177" s="169"/>
      <c r="AW177" s="169"/>
      <c r="AX177" s="383"/>
    </row>
    <row r="178">
      <c r="A178" s="388">
        <v>177.0</v>
      </c>
      <c r="B178" s="184"/>
      <c r="C178" s="185"/>
      <c r="D178" s="410"/>
      <c r="E178" s="187"/>
      <c r="F178" s="188"/>
      <c r="G178" s="397" t="str">
        <f t="shared" si="1"/>
        <v/>
      </c>
      <c r="H178" s="402"/>
      <c r="I178" s="402"/>
      <c r="J178" s="187"/>
      <c r="K178" s="145" t="str">
        <f>IFERROR(__xludf.DUMMYFUNCTION("IF(ISBLANK(C178), """", GOOGLEFINANCE(""NSE:"" &amp; C178,""price""))"),"")</f>
        <v/>
      </c>
      <c r="L178" s="213"/>
      <c r="M178" s="193"/>
      <c r="N178" s="194"/>
      <c r="O178" s="195"/>
      <c r="P178" s="196"/>
      <c r="Q178" s="376"/>
      <c r="R178" s="198"/>
      <c r="S178" s="196"/>
      <c r="T178" s="376"/>
      <c r="U178" s="199" t="str">
        <f t="shared" si="23"/>
        <v/>
      </c>
      <c r="V178" s="200" t="str">
        <f>IFS(AND(B178&gt;=DATE(2025,1,1), B178&lt;=DATE(2025,1,31)), U178/DDashboard!$C$2, AND(B178&gt;=DATE(2025,2,1), B178&lt;=DATE(2025,2,28)), U178/DDashboard!$C$3, AND(B178&gt;=DATE(2025,3,1), B178&lt;=DATE(2025,3,31)), U178/DDashboard!$C$4, AND(B178&gt;=DATE(2025,4,1), B178&lt;=DATE(2025,4,30)), U178/DDashboard!$C$5,AND(B178&gt;=DATE(2025,5,1), B178&lt;=DATE(2025,5,31)), U178/DDashboard!$C$6,AND(B178&gt;=DATE(2025,6,1), B178&lt;=DATE(2025,6,30)), U178/DDashboard!$C$7,AND(B178&gt;=DATE(2025,7,1), B178&lt;=DATE(2025,7,31)), U178/DDashboard!$C$8,AND(B178&gt;=DATE(2025,8,1), B178&lt;=DATE(2025,8,31)), U178/DDashboard!$C$9,AND(B178&gt;=DATE(2025,9,1), B178&lt;=DATE(2025,9,30)), U178/DDashboard!$C$10,AND(B178&gt;=DATE(2025,10,1), B178&lt;=DATE(2025,10,31)), U178/DDashboard!$C$11,AND(B178&gt;=DATE(2025,11,1), B178&lt;=DATE(2025,11,30)), U178/DDashboard!$C$12, AND(B178&gt;=DATE(2025,12,1), B178&lt;=DATE(2025,12,31)), U178/DDashboard!$C$13, True, "")
</f>
        <v/>
      </c>
      <c r="W178" s="201" t="str">
        <f t="shared" si="3"/>
        <v/>
      </c>
      <c r="X178" s="202"/>
      <c r="Y178" s="203"/>
      <c r="Z178" s="391"/>
      <c r="AA178" s="198"/>
      <c r="AB178" s="222"/>
      <c r="AC178" s="223"/>
      <c r="AD178" s="195"/>
      <c r="AE178" s="222"/>
      <c r="AF178" s="223"/>
      <c r="AG178" s="206" t="str">
        <f t="shared" si="4"/>
        <v/>
      </c>
      <c r="AH178" s="385" t="str">
        <f t="shared" si="5"/>
        <v/>
      </c>
      <c r="AI178" s="207" t="str">
        <f t="shared" si="24"/>
        <v/>
      </c>
      <c r="AJ178" s="367" t="str">
        <f t="shared" si="7"/>
        <v/>
      </c>
      <c r="AK178" s="208" t="str">
        <f t="shared" si="25"/>
        <v/>
      </c>
      <c r="AL178" s="207" t="str">
        <f t="shared" si="22"/>
        <v/>
      </c>
      <c r="AM178" s="209" t="str">
        <f>IF(AN178="", "", IF(AN178="Closed", 
    IF(ISNUMBER(AF178), AF178-B178,
        IF(ISNUMBER(AC178), AC178-B178,
            IF(ISNUMBER(Z178), Z178-B178, "")
        )
    ), 
    TODAY()-B178))</f>
        <v/>
      </c>
      <c r="AN178" s="386" t="str">
        <f t="shared" si="11"/>
        <v/>
      </c>
      <c r="AO178" s="366" t="str">
        <f t="shared" si="12"/>
        <v/>
      </c>
      <c r="AP178" s="210" t="str">
        <f t="shared" si="13"/>
        <v/>
      </c>
      <c r="AQ178" s="196" t="str">
        <f t="shared" si="26"/>
        <v/>
      </c>
      <c r="AR178" s="168" t="str">
        <f>IFS(AND(B178&gt;=DATE(2025,1,1), B178&lt;=DATE(2025,1,31)), AQ178/DDashboard!$C$2, AND(B178&gt;=DATE(2025,2,1), B178&lt;=DATE(2025,2,28)), AQ178/DDashboard!$C$3, AND(B178&gt;=DATE(2025,3,1), B178&lt;=DATE(2025,3,31)), AQ178/DDashboard!$C$4, AND(B178&gt;=DATE(2025,4,1), B178&lt;=DATE(2025,4,30)), AQ178/DDashboard!$C$5,AND(B178&gt;=DATE(2025,5,1), B178&lt;=DATE(2025,5,31)), AQ178/DDashboard!$C$6,AND(B178&gt;=DATE(2025,6,1), B178&lt;=DATE(2025,6,30)), AQ178/DDashboard!$C$7,AND(B178&gt;=DATE(2025,7,1), B178&lt;=DATE(2025,7,31)), AQ178/DDashboard!$C$8,AND(B178&gt;=DATE(2025,8,1), B178&lt;=DATE(2025,8,31)), AQ178/DDashboard!$C$9,AND(B178&gt;=DATE(2025,9,1), B178&lt;=DATE(2025,9,30)), AQ178/DDashboard!$C$10,AND(B178&gt;=DATE(2025,10,1), B178&lt;=DATE(2025,10,31)), AQ178/DDashboard!$C$11,AND(B178&gt;=DATE(2025,11,1), B178&lt;=DATE(2025,11,30)), AQ178/DDashboard!$C$12, AND(B178&gt;=DATE(2025,12,1), B178&lt;=DATE(2025,12,31)), AQ178/DDashboard!$C$13, True, "")
</f>
        <v/>
      </c>
      <c r="AS178" s="200" t="str">
        <f t="array" ref="AS178">IF(ISBLANK(C178), "", SUM($AR$9:AR178)
)</f>
        <v/>
      </c>
      <c r="AT178" s="169" t="b">
        <v>0</v>
      </c>
      <c r="AU178" s="169"/>
      <c r="AV178" s="169"/>
      <c r="AW178" s="169"/>
      <c r="AX178" s="387"/>
    </row>
    <row r="179">
      <c r="A179" s="389">
        <v>178.0</v>
      </c>
      <c r="B179" s="412"/>
      <c r="C179" s="413"/>
      <c r="D179" s="409"/>
      <c r="E179" s="414"/>
      <c r="F179" s="142"/>
      <c r="G179" s="398" t="str">
        <f t="shared" si="1"/>
        <v/>
      </c>
      <c r="H179" s="399"/>
      <c r="I179" s="399"/>
      <c r="J179" s="141"/>
      <c r="K179" s="145" t="str">
        <f>IFERROR(__xludf.DUMMYFUNCTION("IF(ISBLANK(C179), """", GOOGLEFINANCE(""NSE:"" &amp; C179,""price""))"),"")</f>
        <v/>
      </c>
      <c r="L179" s="146"/>
      <c r="M179" s="147"/>
      <c r="N179" s="148"/>
      <c r="O179" s="149"/>
      <c r="P179" s="150"/>
      <c r="Q179" s="377"/>
      <c r="R179" s="152"/>
      <c r="S179" s="150"/>
      <c r="T179" s="377"/>
      <c r="U179" s="153" t="str">
        <f t="shared" si="23"/>
        <v/>
      </c>
      <c r="V179" s="154" t="str">
        <f>IFS(AND(B179&gt;=DATE(2025,1,1), B179&lt;=DATE(2025,1,31)), U179/DDashboard!$C$2, AND(B179&gt;=DATE(2025,2,1), B179&lt;=DATE(2025,2,28)), U179/DDashboard!$C$3, AND(B179&gt;=DATE(2025,3,1), B179&lt;=DATE(2025,3,31)), U179/DDashboard!$C$4, AND(B179&gt;=DATE(2025,4,1), B179&lt;=DATE(2025,4,30)), U179/DDashboard!$C$5,AND(B179&gt;=DATE(2025,5,1), B179&lt;=DATE(2025,5,31)), U179/DDashboard!$C$6,AND(B179&gt;=DATE(2025,6,1), B179&lt;=DATE(2025,6,30)), U179/DDashboard!$C$7,AND(B179&gt;=DATE(2025,7,1), B179&lt;=DATE(2025,7,31)), U179/DDashboard!$C$8,AND(B179&gt;=DATE(2025,8,1), B179&lt;=DATE(2025,8,31)), U179/DDashboard!$C$9,AND(B179&gt;=DATE(2025,9,1), B179&lt;=DATE(2025,9,30)), U179/DDashboard!$C$10,AND(B179&gt;=DATE(2025,10,1), B179&lt;=DATE(2025,10,31)), U179/DDashboard!$C$11,AND(B179&gt;=DATE(2025,11,1), B179&lt;=DATE(2025,11,30)), U179/DDashboard!$C$12, AND(B179&gt;=DATE(2025,12,1), B179&lt;=DATE(2025,12,31)), U179/DDashboard!$C$13, True, "")
</f>
        <v/>
      </c>
      <c r="W179" s="65" t="str">
        <f t="shared" si="3"/>
        <v/>
      </c>
      <c r="X179" s="155"/>
      <c r="Y179" s="156"/>
      <c r="Z179" s="392"/>
      <c r="AA179" s="390"/>
      <c r="AB179" s="359"/>
      <c r="AC179" s="360"/>
      <c r="AD179" s="358"/>
      <c r="AE179" s="359"/>
      <c r="AF179" s="360"/>
      <c r="AG179" s="160" t="str">
        <f t="shared" si="4"/>
        <v/>
      </c>
      <c r="AH179" s="393" t="str">
        <f t="shared" si="5"/>
        <v/>
      </c>
      <c r="AI179" s="161" t="str">
        <f t="shared" si="24"/>
        <v/>
      </c>
      <c r="AJ179" s="365" t="str">
        <f t="shared" si="7"/>
        <v/>
      </c>
      <c r="AK179" s="162" t="str">
        <f t="shared" si="25"/>
        <v/>
      </c>
      <c r="AL179" s="161" t="str">
        <f t="shared" si="22"/>
        <v/>
      </c>
      <c r="AM179" s="163" t="str">
        <f>IF(AN179="", "", IF(AN179="Closed", IF(ISNUMBER(AF179), AF179-B179,IF(ISNUMBER(AC179), AC179-B179,IF(ISNUMBER(Z179), Z179-B179, ""))), TODAY()-B179))
</f>
        <v/>
      </c>
      <c r="AN179" s="381" t="str">
        <f t="shared" si="11"/>
        <v/>
      </c>
      <c r="AO179" s="366" t="str">
        <f t="shared" si="12"/>
        <v/>
      </c>
      <c r="AP179" s="166" t="str">
        <f t="shared" si="13"/>
        <v/>
      </c>
      <c r="AQ179" s="167" t="str">
        <f t="shared" si="26"/>
        <v/>
      </c>
      <c r="AR179" s="168" t="str">
        <f>IFS(AND(B179&gt;=DATE(2025,1,1), B179&lt;=DATE(2025,1,31)), AQ179/DDashboard!$C$2, AND(B179&gt;=DATE(2025,2,1), B179&lt;=DATE(2025,2,28)), AQ179/DDashboard!$C$3, AND(B179&gt;=DATE(2025,3,1), B179&lt;=DATE(2025,3,31)), AQ179/DDashboard!$C$4, AND(B179&gt;=DATE(2025,4,1), B179&lt;=DATE(2025,4,30)), AQ179/DDashboard!$C$5,AND(B179&gt;=DATE(2025,5,1), B179&lt;=DATE(2025,5,31)), AQ179/DDashboard!$C$6,AND(B179&gt;=DATE(2025,6,1), B179&lt;=DATE(2025,6,30)), AQ179/DDashboard!$C$7,AND(B179&gt;=DATE(2025,7,1), B179&lt;=DATE(2025,7,31)), AQ179/DDashboard!$C$8,AND(B179&gt;=DATE(2025,8,1), B179&lt;=DATE(2025,8,31)), AQ179/DDashboard!$C$9,AND(B179&gt;=DATE(2025,9,1), B179&lt;=DATE(2025,9,30)), AQ179/DDashboard!$C$10,AND(B179&gt;=DATE(2025,10,1), B179&lt;=DATE(2025,10,31)), AQ179/DDashboard!$C$11,AND(B179&gt;=DATE(2025,11,1), B179&lt;=DATE(2025,11,30)), AQ179/DDashboard!$C$12, AND(B179&gt;=DATE(2025,12,1), B179&lt;=DATE(2025,12,31)), AQ179/DDashboard!$C$13, True, "")
</f>
        <v/>
      </c>
      <c r="AS179" s="200" t="str">
        <f t="array" ref="AS179">IF(ISBLANK(C179), "", SUM($AR$9:AR179)
)</f>
        <v/>
      </c>
      <c r="AT179" s="169" t="b">
        <v>0</v>
      </c>
      <c r="AU179" s="169"/>
      <c r="AV179" s="169"/>
      <c r="AW179" s="169"/>
      <c r="AX179" s="383"/>
    </row>
    <row r="180">
      <c r="A180" s="388">
        <v>179.0</v>
      </c>
      <c r="B180" s="184"/>
      <c r="C180" s="415"/>
      <c r="D180" s="410"/>
      <c r="E180" s="416"/>
      <c r="F180" s="188"/>
      <c r="G180" s="397" t="str">
        <f t="shared" si="1"/>
        <v/>
      </c>
      <c r="H180" s="402"/>
      <c r="I180" s="402"/>
      <c r="J180" s="187"/>
      <c r="K180" s="145" t="str">
        <f>IFERROR(__xludf.DUMMYFUNCTION("IF(ISBLANK(C180), """", GOOGLEFINANCE(""NSE:"" &amp; C180,""price""))"),"")</f>
        <v/>
      </c>
      <c r="L180" s="213"/>
      <c r="M180" s="193"/>
      <c r="N180" s="194"/>
      <c r="O180" s="195"/>
      <c r="P180" s="196"/>
      <c r="Q180" s="376"/>
      <c r="R180" s="198"/>
      <c r="S180" s="196"/>
      <c r="T180" s="376"/>
      <c r="U180" s="199" t="str">
        <f t="shared" si="23"/>
        <v/>
      </c>
      <c r="V180" s="200" t="str">
        <f>IFS(AND(B180&gt;=DATE(2025,1,1), B180&lt;=DATE(2025,1,31)), U180/DDashboard!$C$2, AND(B180&gt;=DATE(2025,2,1), B180&lt;=DATE(2025,2,28)), U180/DDashboard!$C$3, AND(B180&gt;=DATE(2025,3,1), B180&lt;=DATE(2025,3,31)), U180/DDashboard!$C$4, AND(B180&gt;=DATE(2025,4,1), B180&lt;=DATE(2025,4,30)), U180/DDashboard!$C$5,AND(B180&gt;=DATE(2025,5,1), B180&lt;=DATE(2025,5,31)), U180/DDashboard!$C$6,AND(B180&gt;=DATE(2025,6,1), B180&lt;=DATE(2025,6,30)), U180/DDashboard!$C$7,AND(B180&gt;=DATE(2025,7,1), B180&lt;=DATE(2025,7,31)), U180/DDashboard!$C$8,AND(B180&gt;=DATE(2025,8,1), B180&lt;=DATE(2025,8,31)), U180/DDashboard!$C$9,AND(B180&gt;=DATE(2025,9,1), B180&lt;=DATE(2025,9,30)), U180/DDashboard!$C$10,AND(B180&gt;=DATE(2025,10,1), B180&lt;=DATE(2025,10,31)), U180/DDashboard!$C$11,AND(B180&gt;=DATE(2025,11,1), B180&lt;=DATE(2025,11,30)), U180/DDashboard!$C$12, AND(B180&gt;=DATE(2025,12,1), B180&lt;=DATE(2025,12,31)), U180/DDashboard!$C$13, True, "")
</f>
        <v/>
      </c>
      <c r="W180" s="201" t="str">
        <f t="shared" si="3"/>
        <v/>
      </c>
      <c r="X180" s="202"/>
      <c r="Y180" s="203"/>
      <c r="Z180" s="391"/>
      <c r="AA180" s="198"/>
      <c r="AB180" s="222"/>
      <c r="AC180" s="223"/>
      <c r="AD180" s="195"/>
      <c r="AE180" s="222"/>
      <c r="AF180" s="223"/>
      <c r="AG180" s="206" t="str">
        <f t="shared" si="4"/>
        <v/>
      </c>
      <c r="AH180" s="385" t="str">
        <f t="shared" si="5"/>
        <v/>
      </c>
      <c r="AI180" s="207" t="str">
        <f t="shared" si="24"/>
        <v/>
      </c>
      <c r="AJ180" s="367" t="str">
        <f t="shared" si="7"/>
        <v/>
      </c>
      <c r="AK180" s="208" t="str">
        <f t="shared" si="25"/>
        <v/>
      </c>
      <c r="AL180" s="207" t="str">
        <f t="shared" si="22"/>
        <v/>
      </c>
      <c r="AM180" s="209" t="str">
        <f>IF(AN180="", "", IF(AN180="Closed", 
    IF(ISNUMBER(AF180), AF180-B180,
        IF(ISNUMBER(AC180), AC180-B180,
            IF(ISNUMBER(Z180), Z180-B180, "")
        )
    ), 
    TODAY()-B180))</f>
        <v/>
      </c>
      <c r="AN180" s="386" t="str">
        <f t="shared" si="11"/>
        <v/>
      </c>
      <c r="AO180" s="366" t="str">
        <f t="shared" si="12"/>
        <v/>
      </c>
      <c r="AP180" s="210" t="str">
        <f t="shared" si="13"/>
        <v/>
      </c>
      <c r="AQ180" s="196" t="str">
        <f t="shared" si="26"/>
        <v/>
      </c>
      <c r="AR180" s="168" t="str">
        <f>IFS(AND(B180&gt;=DATE(2025,1,1), B180&lt;=DATE(2025,1,31)), AQ180/DDashboard!$C$2, AND(B180&gt;=DATE(2025,2,1), B180&lt;=DATE(2025,2,28)), AQ180/DDashboard!$C$3, AND(B180&gt;=DATE(2025,3,1), B180&lt;=DATE(2025,3,31)), AQ180/DDashboard!$C$4, AND(B180&gt;=DATE(2025,4,1), B180&lt;=DATE(2025,4,30)), AQ180/DDashboard!$C$5,AND(B180&gt;=DATE(2025,5,1), B180&lt;=DATE(2025,5,31)), AQ180/DDashboard!$C$6,AND(B180&gt;=DATE(2025,6,1), B180&lt;=DATE(2025,6,30)), AQ180/DDashboard!$C$7,AND(B180&gt;=DATE(2025,7,1), B180&lt;=DATE(2025,7,31)), AQ180/DDashboard!$C$8,AND(B180&gt;=DATE(2025,8,1), B180&lt;=DATE(2025,8,31)), AQ180/DDashboard!$C$9,AND(B180&gt;=DATE(2025,9,1), B180&lt;=DATE(2025,9,30)), AQ180/DDashboard!$C$10,AND(B180&gt;=DATE(2025,10,1), B180&lt;=DATE(2025,10,31)), AQ180/DDashboard!$C$11,AND(B180&gt;=DATE(2025,11,1), B180&lt;=DATE(2025,11,30)), AQ180/DDashboard!$C$12, AND(B180&gt;=DATE(2025,12,1), B180&lt;=DATE(2025,12,31)), AQ180/DDashboard!$C$13, True, "")
</f>
        <v/>
      </c>
      <c r="AS180" s="200" t="str">
        <f t="array" ref="AS180">IF(ISBLANK(C180), "", SUM($AR$9:AR180)
)</f>
        <v/>
      </c>
      <c r="AT180" s="169" t="b">
        <v>0</v>
      </c>
      <c r="AU180" s="169"/>
      <c r="AV180" s="169"/>
      <c r="AW180" s="169"/>
      <c r="AX180" s="387"/>
    </row>
    <row r="181">
      <c r="A181" s="389">
        <v>180.0</v>
      </c>
      <c r="B181" s="138"/>
      <c r="C181" s="139"/>
      <c r="D181" s="393"/>
      <c r="E181" s="403"/>
      <c r="F181" s="142"/>
      <c r="G181" s="398" t="str">
        <f t="shared" si="1"/>
        <v/>
      </c>
      <c r="H181" s="144"/>
      <c r="I181" s="399"/>
      <c r="J181" s="141"/>
      <c r="K181" s="145" t="str">
        <f>IFERROR(__xludf.DUMMYFUNCTION("IF(ISBLANK(C181), """", GOOGLEFINANCE(""NSE:"" &amp; C181,""price""))"),"")</f>
        <v/>
      </c>
      <c r="L181" s="146"/>
      <c r="M181" s="147"/>
      <c r="N181" s="148"/>
      <c r="O181" s="149"/>
      <c r="P181" s="150"/>
      <c r="Q181" s="377"/>
      <c r="R181" s="152"/>
      <c r="S181" s="150"/>
      <c r="T181" s="377"/>
      <c r="U181" s="153" t="str">
        <f t="shared" si="23"/>
        <v/>
      </c>
      <c r="V181" s="154" t="str">
        <f>IFS(AND(B181&gt;=DATE(2025,1,1), B181&lt;=DATE(2025,1,31)), U181/DDashboard!$C$2, AND(B181&gt;=DATE(2025,2,1), B181&lt;=DATE(2025,2,28)), U181/DDashboard!$C$3, AND(B181&gt;=DATE(2025,3,1), B181&lt;=DATE(2025,3,31)), U181/DDashboard!$C$4, AND(B181&gt;=DATE(2025,4,1), B181&lt;=DATE(2025,4,30)), U181/DDashboard!$C$5,AND(B181&gt;=DATE(2025,5,1), B181&lt;=DATE(2025,5,31)), U181/DDashboard!$C$6,AND(B181&gt;=DATE(2025,6,1), B181&lt;=DATE(2025,6,30)), U181/DDashboard!$C$7,AND(B181&gt;=DATE(2025,7,1), B181&lt;=DATE(2025,7,31)), U181/DDashboard!$C$8,AND(B181&gt;=DATE(2025,8,1), B181&lt;=DATE(2025,8,31)), U181/DDashboard!$C$9,AND(B181&gt;=DATE(2025,9,1), B181&lt;=DATE(2025,9,30)), U181/DDashboard!$C$10,AND(B181&gt;=DATE(2025,10,1), B181&lt;=DATE(2025,10,31)), U181/DDashboard!$C$11,AND(B181&gt;=DATE(2025,11,1), B181&lt;=DATE(2025,11,30)), U181/DDashboard!$C$12, AND(B181&gt;=DATE(2025,12,1), B181&lt;=DATE(2025,12,31)), U181/DDashboard!$C$13, True, "")
</f>
        <v/>
      </c>
      <c r="W181" s="65" t="str">
        <f t="shared" si="3"/>
        <v/>
      </c>
      <c r="X181" s="155"/>
      <c r="Y181" s="156"/>
      <c r="Z181" s="392"/>
      <c r="AA181" s="390"/>
      <c r="AB181" s="359"/>
      <c r="AC181" s="360"/>
      <c r="AD181" s="358"/>
      <c r="AE181" s="359"/>
      <c r="AF181" s="360"/>
      <c r="AG181" s="160" t="str">
        <f t="shared" si="4"/>
        <v/>
      </c>
      <c r="AH181" s="393" t="str">
        <f t="shared" si="5"/>
        <v/>
      </c>
      <c r="AI181" s="161" t="str">
        <f t="shared" si="24"/>
        <v/>
      </c>
      <c r="AJ181" s="365" t="str">
        <f t="shared" si="7"/>
        <v/>
      </c>
      <c r="AK181" s="162" t="str">
        <f t="shared" si="25"/>
        <v/>
      </c>
      <c r="AL181" s="161" t="str">
        <f t="shared" si="22"/>
        <v/>
      </c>
      <c r="AM181" s="163" t="str">
        <f>IF(AN181="", "", IF(AN181="Closed", IF(ISNUMBER(AF181), AF181-B181,IF(ISNUMBER(AC181), AC181-B181,IF(ISNUMBER(Z181), Z181-B181, ""))), TODAY()-B181))
</f>
        <v/>
      </c>
      <c r="AN181" s="381" t="str">
        <f t="shared" si="11"/>
        <v/>
      </c>
      <c r="AO181" s="366" t="str">
        <f t="shared" si="12"/>
        <v/>
      </c>
      <c r="AP181" s="166" t="str">
        <f t="shared" si="13"/>
        <v/>
      </c>
      <c r="AQ181" s="167" t="str">
        <f t="shared" si="26"/>
        <v/>
      </c>
      <c r="AR181" s="168" t="str">
        <f>IFS(AND(B181&gt;=DATE(2025,1,1), B181&lt;=DATE(2025,1,31)), AQ181/DDashboard!$C$2, AND(B181&gt;=DATE(2025,2,1), B181&lt;=DATE(2025,2,28)), AQ181/DDashboard!$C$3, AND(B181&gt;=DATE(2025,3,1), B181&lt;=DATE(2025,3,31)), AQ181/DDashboard!$C$4, AND(B181&gt;=DATE(2025,4,1), B181&lt;=DATE(2025,4,30)), AQ181/DDashboard!$C$5,AND(B181&gt;=DATE(2025,5,1), B181&lt;=DATE(2025,5,31)), AQ181/DDashboard!$C$6,AND(B181&gt;=DATE(2025,6,1), B181&lt;=DATE(2025,6,30)), AQ181/DDashboard!$C$7,AND(B181&gt;=DATE(2025,7,1), B181&lt;=DATE(2025,7,31)), AQ181/DDashboard!$C$8,AND(B181&gt;=DATE(2025,8,1), B181&lt;=DATE(2025,8,31)), AQ181/DDashboard!$C$9,AND(B181&gt;=DATE(2025,9,1), B181&lt;=DATE(2025,9,30)), AQ181/DDashboard!$C$10,AND(B181&gt;=DATE(2025,10,1), B181&lt;=DATE(2025,10,31)), AQ181/DDashboard!$C$11,AND(B181&gt;=DATE(2025,11,1), B181&lt;=DATE(2025,11,30)), AQ181/DDashboard!$C$12, AND(B181&gt;=DATE(2025,12,1), B181&lt;=DATE(2025,12,31)), AQ181/DDashboard!$C$13, True, "")
</f>
        <v/>
      </c>
      <c r="AS181" s="200" t="str">
        <f t="array" ref="AS181">IF(ISBLANK(C181), "", SUM($AR$9:AR181)
)</f>
        <v/>
      </c>
      <c r="AT181" s="169" t="b">
        <v>0</v>
      </c>
      <c r="AU181" s="169"/>
      <c r="AV181" s="169"/>
      <c r="AW181" s="169"/>
      <c r="AX181" s="383"/>
    </row>
    <row r="182">
      <c r="A182" s="388">
        <v>181.0</v>
      </c>
      <c r="B182" s="184"/>
      <c r="C182" s="185"/>
      <c r="D182" s="385"/>
      <c r="E182" s="404"/>
      <c r="F182" s="188"/>
      <c r="G182" s="397" t="str">
        <f t="shared" si="1"/>
        <v/>
      </c>
      <c r="H182" s="190"/>
      <c r="I182" s="402"/>
      <c r="J182" s="187"/>
      <c r="K182" s="145" t="str">
        <f>IFERROR(__xludf.DUMMYFUNCTION("IF(ISBLANK(C182), """", GOOGLEFINANCE(""NSE:"" &amp; C182,""price""))"),"")</f>
        <v/>
      </c>
      <c r="L182" s="213"/>
      <c r="M182" s="193"/>
      <c r="N182" s="194"/>
      <c r="O182" s="205"/>
      <c r="P182" s="228"/>
      <c r="Q182" s="370"/>
      <c r="R182" s="198"/>
      <c r="S182" s="196"/>
      <c r="T182" s="376"/>
      <c r="U182" s="199" t="str">
        <f t="shared" si="23"/>
        <v/>
      </c>
      <c r="V182" s="200" t="str">
        <f>IFS(AND(B182&gt;=DATE(2025,1,1), B182&lt;=DATE(2025,1,31)), U182/DDashboard!$C$2, AND(B182&gt;=DATE(2025,2,1), B182&lt;=DATE(2025,2,28)), U182/DDashboard!$C$3, AND(B182&gt;=DATE(2025,3,1), B182&lt;=DATE(2025,3,31)), U182/DDashboard!$C$4, AND(B182&gt;=DATE(2025,4,1), B182&lt;=DATE(2025,4,30)), U182/DDashboard!$C$5,AND(B182&gt;=DATE(2025,5,1), B182&lt;=DATE(2025,5,31)), U182/DDashboard!$C$6,AND(B182&gt;=DATE(2025,6,1), B182&lt;=DATE(2025,6,30)), U182/DDashboard!$C$7,AND(B182&gt;=DATE(2025,7,1), B182&lt;=DATE(2025,7,31)), U182/DDashboard!$C$8,AND(B182&gt;=DATE(2025,8,1), B182&lt;=DATE(2025,8,31)), U182/DDashboard!$C$9,AND(B182&gt;=DATE(2025,9,1), B182&lt;=DATE(2025,9,30)), U182/DDashboard!$C$10,AND(B182&gt;=DATE(2025,10,1), B182&lt;=DATE(2025,10,31)), U182/DDashboard!$C$11,AND(B182&gt;=DATE(2025,11,1), B182&lt;=DATE(2025,11,30)), U182/DDashboard!$C$12, AND(B182&gt;=DATE(2025,12,1), B182&lt;=DATE(2025,12,31)), U182/DDashboard!$C$13, True, "")
</f>
        <v/>
      </c>
      <c r="W182" s="201" t="str">
        <f t="shared" si="3"/>
        <v/>
      </c>
      <c r="X182" s="202"/>
      <c r="Y182" s="203"/>
      <c r="Z182" s="391"/>
      <c r="AA182" s="198"/>
      <c r="AB182" s="222"/>
      <c r="AC182" s="223"/>
      <c r="AD182" s="195"/>
      <c r="AE182" s="222"/>
      <c r="AF182" s="223"/>
      <c r="AG182" s="206" t="str">
        <f t="shared" si="4"/>
        <v/>
      </c>
      <c r="AH182" s="385" t="str">
        <f t="shared" si="5"/>
        <v/>
      </c>
      <c r="AI182" s="207" t="str">
        <f t="shared" si="24"/>
        <v/>
      </c>
      <c r="AJ182" s="367" t="str">
        <f t="shared" si="7"/>
        <v/>
      </c>
      <c r="AK182" s="208" t="str">
        <f t="shared" si="25"/>
        <v/>
      </c>
      <c r="AL182" s="207" t="str">
        <f t="shared" si="22"/>
        <v/>
      </c>
      <c r="AM182" s="209" t="str">
        <f>IF(AN182="", "", IF(AN182="Closed", 
    IF(ISNUMBER(AF182), AF182-B182,
        IF(ISNUMBER(AC182), AC182-B182,
            IF(ISNUMBER(Z182), Z182-B182, "")
        )
    ), 
    TODAY()-B182))</f>
        <v/>
      </c>
      <c r="AN182" s="386" t="str">
        <f t="shared" si="11"/>
        <v/>
      </c>
      <c r="AO182" s="366" t="str">
        <f t="shared" si="12"/>
        <v/>
      </c>
      <c r="AP182" s="210" t="str">
        <f t="shared" si="13"/>
        <v/>
      </c>
      <c r="AQ182" s="196" t="str">
        <f t="shared" si="26"/>
        <v/>
      </c>
      <c r="AR182" s="168" t="str">
        <f>IFS(AND(B182&gt;=DATE(2025,1,1), B182&lt;=DATE(2025,1,31)), AQ182/DDashboard!$C$2, AND(B182&gt;=DATE(2025,2,1), B182&lt;=DATE(2025,2,28)), AQ182/DDashboard!$C$3, AND(B182&gt;=DATE(2025,3,1), B182&lt;=DATE(2025,3,31)), AQ182/DDashboard!$C$4, AND(B182&gt;=DATE(2025,4,1), B182&lt;=DATE(2025,4,30)), AQ182/DDashboard!$C$5,AND(B182&gt;=DATE(2025,5,1), B182&lt;=DATE(2025,5,31)), AQ182/DDashboard!$C$6,AND(B182&gt;=DATE(2025,6,1), B182&lt;=DATE(2025,6,30)), AQ182/DDashboard!$C$7,AND(B182&gt;=DATE(2025,7,1), B182&lt;=DATE(2025,7,31)), AQ182/DDashboard!$C$8,AND(B182&gt;=DATE(2025,8,1), B182&lt;=DATE(2025,8,31)), AQ182/DDashboard!$C$9,AND(B182&gt;=DATE(2025,9,1), B182&lt;=DATE(2025,9,30)), AQ182/DDashboard!$C$10,AND(B182&gt;=DATE(2025,10,1), B182&lt;=DATE(2025,10,31)), AQ182/DDashboard!$C$11,AND(B182&gt;=DATE(2025,11,1), B182&lt;=DATE(2025,11,30)), AQ182/DDashboard!$C$12, AND(B182&gt;=DATE(2025,12,1), B182&lt;=DATE(2025,12,31)), AQ182/DDashboard!$C$13, True, "")
</f>
        <v/>
      </c>
      <c r="AS182" s="200" t="str">
        <f t="array" ref="AS182">IF(ISBLANK(C182), "", SUM($AR$9:AR182)
)</f>
        <v/>
      </c>
      <c r="AT182" s="169" t="b">
        <v>0</v>
      </c>
      <c r="AU182" s="169"/>
      <c r="AV182" s="169"/>
      <c r="AW182" s="169"/>
      <c r="AX182" s="387"/>
    </row>
    <row r="183">
      <c r="A183" s="389">
        <v>182.0</v>
      </c>
      <c r="B183" s="138"/>
      <c r="C183" s="139"/>
      <c r="D183" s="409"/>
      <c r="E183" s="414"/>
      <c r="F183" s="142"/>
      <c r="G183" s="398" t="str">
        <f t="shared" si="1"/>
        <v/>
      </c>
      <c r="H183" s="399"/>
      <c r="I183" s="399"/>
      <c r="J183" s="141"/>
      <c r="K183" s="145" t="str">
        <f>IFERROR(__xludf.DUMMYFUNCTION("IF(ISBLANK(C183), """", GOOGLEFINANCE(""NSE:"" &amp; C183,""price""))"),"")</f>
        <v/>
      </c>
      <c r="L183" s="146"/>
      <c r="M183" s="147"/>
      <c r="N183" s="148"/>
      <c r="O183" s="149"/>
      <c r="P183" s="150"/>
      <c r="Q183" s="377"/>
      <c r="R183" s="152"/>
      <c r="S183" s="150"/>
      <c r="T183" s="377"/>
      <c r="U183" s="153" t="str">
        <f t="shared" si="23"/>
        <v/>
      </c>
      <c r="V183" s="154" t="str">
        <f>IFS(AND(B183&gt;=DATE(2025,1,1), B183&lt;=DATE(2025,1,31)), U183/DDashboard!$C$2, AND(B183&gt;=DATE(2025,2,1), B183&lt;=DATE(2025,2,28)), U183/DDashboard!$C$3, AND(B183&gt;=DATE(2025,3,1), B183&lt;=DATE(2025,3,31)), U183/DDashboard!$C$4, AND(B183&gt;=DATE(2025,4,1), B183&lt;=DATE(2025,4,30)), U183/DDashboard!$C$5,AND(B183&gt;=DATE(2025,5,1), B183&lt;=DATE(2025,5,31)), U183/DDashboard!$C$6,AND(B183&gt;=DATE(2025,6,1), B183&lt;=DATE(2025,6,30)), U183/DDashboard!$C$7,AND(B183&gt;=DATE(2025,7,1), B183&lt;=DATE(2025,7,31)), U183/DDashboard!$C$8,AND(B183&gt;=DATE(2025,8,1), B183&lt;=DATE(2025,8,31)), U183/DDashboard!$C$9,AND(B183&gt;=DATE(2025,9,1), B183&lt;=DATE(2025,9,30)), U183/DDashboard!$C$10,AND(B183&gt;=DATE(2025,10,1), B183&lt;=DATE(2025,10,31)), U183/DDashboard!$C$11,AND(B183&gt;=DATE(2025,11,1), B183&lt;=DATE(2025,11,30)), U183/DDashboard!$C$12, AND(B183&gt;=DATE(2025,12,1), B183&lt;=DATE(2025,12,31)), U183/DDashboard!$C$13, True, "")
</f>
        <v/>
      </c>
      <c r="W183" s="65" t="str">
        <f t="shared" si="3"/>
        <v/>
      </c>
      <c r="X183" s="155"/>
      <c r="Y183" s="156"/>
      <c r="Z183" s="392"/>
      <c r="AA183" s="390"/>
      <c r="AB183" s="359"/>
      <c r="AC183" s="360"/>
      <c r="AD183" s="358"/>
      <c r="AE183" s="359"/>
      <c r="AF183" s="360"/>
      <c r="AG183" s="160" t="str">
        <f t="shared" si="4"/>
        <v/>
      </c>
      <c r="AH183" s="393" t="str">
        <f t="shared" si="5"/>
        <v/>
      </c>
      <c r="AI183" s="161" t="str">
        <f t="shared" si="24"/>
        <v/>
      </c>
      <c r="AJ183" s="365" t="str">
        <f t="shared" si="7"/>
        <v/>
      </c>
      <c r="AK183" s="162" t="str">
        <f t="shared" si="25"/>
        <v/>
      </c>
      <c r="AL183" s="161" t="str">
        <f t="shared" si="22"/>
        <v/>
      </c>
      <c r="AM183" s="163" t="str">
        <f>IF(AN183="", "", IF(AN183="Closed", IF(ISNUMBER(AF183), AF183-B183,IF(ISNUMBER(AC183), AC183-B183,IF(ISNUMBER(Z183), Z183-B183, ""))), TODAY()-B183))
</f>
        <v/>
      </c>
      <c r="AN183" s="381" t="str">
        <f t="shared" si="11"/>
        <v/>
      </c>
      <c r="AO183" s="366" t="str">
        <f t="shared" si="12"/>
        <v/>
      </c>
      <c r="AP183" s="166" t="str">
        <f t="shared" si="13"/>
        <v/>
      </c>
      <c r="AQ183" s="167" t="str">
        <f t="shared" si="26"/>
        <v/>
      </c>
      <c r="AR183" s="168" t="str">
        <f>IFS(AND(B183&gt;=DATE(2025,1,1), B183&lt;=DATE(2025,1,31)), AQ183/DDashboard!$C$2, AND(B183&gt;=DATE(2025,2,1), B183&lt;=DATE(2025,2,28)), AQ183/DDashboard!$C$3, AND(B183&gt;=DATE(2025,3,1), B183&lt;=DATE(2025,3,31)), AQ183/DDashboard!$C$4, AND(B183&gt;=DATE(2025,4,1), B183&lt;=DATE(2025,4,30)), AQ183/DDashboard!$C$5,AND(B183&gt;=DATE(2025,5,1), B183&lt;=DATE(2025,5,31)), AQ183/DDashboard!$C$6,AND(B183&gt;=DATE(2025,6,1), B183&lt;=DATE(2025,6,30)), AQ183/DDashboard!$C$7,AND(B183&gt;=DATE(2025,7,1), B183&lt;=DATE(2025,7,31)), AQ183/DDashboard!$C$8,AND(B183&gt;=DATE(2025,8,1), B183&lt;=DATE(2025,8,31)), AQ183/DDashboard!$C$9,AND(B183&gt;=DATE(2025,9,1), B183&lt;=DATE(2025,9,30)), AQ183/DDashboard!$C$10,AND(B183&gt;=DATE(2025,10,1), B183&lt;=DATE(2025,10,31)), AQ183/DDashboard!$C$11,AND(B183&gt;=DATE(2025,11,1), B183&lt;=DATE(2025,11,30)), AQ183/DDashboard!$C$12, AND(B183&gt;=DATE(2025,12,1), B183&lt;=DATE(2025,12,31)), AQ183/DDashboard!$C$13, True, "")
</f>
        <v/>
      </c>
      <c r="AS183" s="200" t="str">
        <f t="array" ref="AS183">IF(ISBLANK(C183), "", SUM($AR$9:AR183)
)</f>
        <v/>
      </c>
      <c r="AT183" s="169" t="b">
        <v>0</v>
      </c>
      <c r="AU183" s="169"/>
      <c r="AV183" s="169"/>
      <c r="AW183" s="169"/>
      <c r="AX183" s="383"/>
    </row>
    <row r="184">
      <c r="A184" s="388">
        <v>183.0</v>
      </c>
      <c r="B184" s="184"/>
      <c r="C184" s="185"/>
      <c r="D184" s="410"/>
      <c r="E184" s="417"/>
      <c r="F184" s="188"/>
      <c r="G184" s="397" t="str">
        <f t="shared" si="1"/>
        <v/>
      </c>
      <c r="H184" s="402"/>
      <c r="I184" s="402"/>
      <c r="J184" s="187"/>
      <c r="K184" s="145" t="str">
        <f>IFERROR(__xludf.DUMMYFUNCTION("IF(ISBLANK(C184), """", GOOGLEFINANCE(""NSE:"" &amp; C184,""price""))"),"")</f>
        <v/>
      </c>
      <c r="L184" s="213"/>
      <c r="M184" s="193"/>
      <c r="N184" s="194"/>
      <c r="O184" s="195"/>
      <c r="P184" s="196"/>
      <c r="Q184" s="376"/>
      <c r="R184" s="198"/>
      <c r="S184" s="196"/>
      <c r="T184" s="376"/>
      <c r="U184" s="199" t="str">
        <f t="shared" si="23"/>
        <v/>
      </c>
      <c r="V184" s="200" t="str">
        <f>IFS(AND(B184&gt;=DATE(2025,1,1), B184&lt;=DATE(2025,1,31)), U184/DDashboard!$C$2, AND(B184&gt;=DATE(2025,2,1), B184&lt;=DATE(2025,2,28)), U184/DDashboard!$C$3, AND(B184&gt;=DATE(2025,3,1), B184&lt;=DATE(2025,3,31)), U184/DDashboard!$C$4, AND(B184&gt;=DATE(2025,4,1), B184&lt;=DATE(2025,4,30)), U184/DDashboard!$C$5,AND(B184&gt;=DATE(2025,5,1), B184&lt;=DATE(2025,5,31)), U184/DDashboard!$C$6,AND(B184&gt;=DATE(2025,6,1), B184&lt;=DATE(2025,6,30)), U184/DDashboard!$C$7,AND(B184&gt;=DATE(2025,7,1), B184&lt;=DATE(2025,7,31)), U184/DDashboard!$C$8,AND(B184&gt;=DATE(2025,8,1), B184&lt;=DATE(2025,8,31)), U184/DDashboard!$C$9,AND(B184&gt;=DATE(2025,9,1), B184&lt;=DATE(2025,9,30)), U184/DDashboard!$C$10,AND(B184&gt;=DATE(2025,10,1), B184&lt;=DATE(2025,10,31)), U184/DDashboard!$C$11,AND(B184&gt;=DATE(2025,11,1), B184&lt;=DATE(2025,11,30)), U184/DDashboard!$C$12, AND(B184&gt;=DATE(2025,12,1), B184&lt;=DATE(2025,12,31)), U184/DDashboard!$C$13, True, "")
</f>
        <v/>
      </c>
      <c r="W184" s="201" t="str">
        <f t="shared" si="3"/>
        <v/>
      </c>
      <c r="X184" s="202"/>
      <c r="Y184" s="203"/>
      <c r="Z184" s="391"/>
      <c r="AA184" s="198"/>
      <c r="AB184" s="222"/>
      <c r="AC184" s="223"/>
      <c r="AD184" s="195"/>
      <c r="AE184" s="222"/>
      <c r="AF184" s="223"/>
      <c r="AG184" s="206" t="str">
        <f t="shared" si="4"/>
        <v/>
      </c>
      <c r="AH184" s="385" t="str">
        <f t="shared" si="5"/>
        <v/>
      </c>
      <c r="AI184" s="207" t="str">
        <f t="shared" si="24"/>
        <v/>
      </c>
      <c r="AJ184" s="367" t="str">
        <f t="shared" si="7"/>
        <v/>
      </c>
      <c r="AK184" s="208" t="str">
        <f t="shared" si="25"/>
        <v/>
      </c>
      <c r="AL184" s="207" t="str">
        <f t="shared" si="22"/>
        <v/>
      </c>
      <c r="AM184" s="209" t="str">
        <f>IF(AN184="", "", IF(AN184="Closed", 
    IF(ISNUMBER(AF184), AF184-B184,
        IF(ISNUMBER(AC184), AC184-B184,
            IF(ISNUMBER(Z184), Z184-B184, "")
        )
    ), 
    TODAY()-B184))</f>
        <v/>
      </c>
      <c r="AN184" s="386" t="str">
        <f t="shared" si="11"/>
        <v/>
      </c>
      <c r="AO184" s="366" t="str">
        <f t="shared" si="12"/>
        <v/>
      </c>
      <c r="AP184" s="210" t="str">
        <f t="shared" si="13"/>
        <v/>
      </c>
      <c r="AQ184" s="196" t="str">
        <f t="shared" si="26"/>
        <v/>
      </c>
      <c r="AR184" s="168" t="str">
        <f>IFS(AND(B184&gt;=DATE(2025,1,1), B184&lt;=DATE(2025,1,31)), AQ184/DDashboard!$C$2, AND(B184&gt;=DATE(2025,2,1), B184&lt;=DATE(2025,2,28)), AQ184/DDashboard!$C$3, AND(B184&gt;=DATE(2025,3,1), B184&lt;=DATE(2025,3,31)), AQ184/DDashboard!$C$4, AND(B184&gt;=DATE(2025,4,1), B184&lt;=DATE(2025,4,30)), AQ184/DDashboard!$C$5,AND(B184&gt;=DATE(2025,5,1), B184&lt;=DATE(2025,5,31)), AQ184/DDashboard!$C$6,AND(B184&gt;=DATE(2025,6,1), B184&lt;=DATE(2025,6,30)), AQ184/DDashboard!$C$7,AND(B184&gt;=DATE(2025,7,1), B184&lt;=DATE(2025,7,31)), AQ184/DDashboard!$C$8,AND(B184&gt;=DATE(2025,8,1), B184&lt;=DATE(2025,8,31)), AQ184/DDashboard!$C$9,AND(B184&gt;=DATE(2025,9,1), B184&lt;=DATE(2025,9,30)), AQ184/DDashboard!$C$10,AND(B184&gt;=DATE(2025,10,1), B184&lt;=DATE(2025,10,31)), AQ184/DDashboard!$C$11,AND(B184&gt;=DATE(2025,11,1), B184&lt;=DATE(2025,11,30)), AQ184/DDashboard!$C$12, AND(B184&gt;=DATE(2025,12,1), B184&lt;=DATE(2025,12,31)), AQ184/DDashboard!$C$13, True, "")
</f>
        <v/>
      </c>
      <c r="AS184" s="200" t="str">
        <f t="array" ref="AS184">IF(ISBLANK(C184), "", SUM($AR$9:AR184)
)</f>
        <v/>
      </c>
      <c r="AT184" s="169" t="b">
        <v>0</v>
      </c>
      <c r="AU184" s="169"/>
      <c r="AV184" s="169"/>
      <c r="AW184" s="169"/>
      <c r="AX184" s="32"/>
    </row>
    <row r="185">
      <c r="A185" s="389">
        <v>184.0</v>
      </c>
      <c r="B185" s="138"/>
      <c r="C185" s="139"/>
      <c r="D185" s="409"/>
      <c r="E185" s="414"/>
      <c r="F185" s="142"/>
      <c r="G185" s="398" t="str">
        <f t="shared" si="1"/>
        <v/>
      </c>
      <c r="H185" s="399"/>
      <c r="I185" s="399"/>
      <c r="J185" s="141"/>
      <c r="K185" s="145" t="str">
        <f>IFERROR(__xludf.DUMMYFUNCTION("IF(ISBLANK(C185), """", GOOGLEFINANCE(""NSE:"" &amp; C185,""price""))"),"")</f>
        <v/>
      </c>
      <c r="L185" s="146"/>
      <c r="M185" s="147"/>
      <c r="N185" s="148"/>
      <c r="O185" s="149"/>
      <c r="P185" s="150"/>
      <c r="Q185" s="377"/>
      <c r="R185" s="152"/>
      <c r="S185" s="150"/>
      <c r="T185" s="377"/>
      <c r="U185" s="153" t="str">
        <f t="shared" si="23"/>
        <v/>
      </c>
      <c r="V185" s="154" t="str">
        <f>IFS(AND(B185&gt;=DATE(2025,1,1), B185&lt;=DATE(2025,1,31)), U185/DDashboard!$C$2, AND(B185&gt;=DATE(2025,2,1), B185&lt;=DATE(2025,2,28)), U185/DDashboard!$C$3, AND(B185&gt;=DATE(2025,3,1), B185&lt;=DATE(2025,3,31)), U185/DDashboard!$C$4, AND(B185&gt;=DATE(2025,4,1), B185&lt;=DATE(2025,4,30)), U185/DDashboard!$C$5,AND(B185&gt;=DATE(2025,5,1), B185&lt;=DATE(2025,5,31)), U185/DDashboard!$C$6,AND(B185&gt;=DATE(2025,6,1), B185&lt;=DATE(2025,6,30)), U185/DDashboard!$C$7,AND(B185&gt;=DATE(2025,7,1), B185&lt;=DATE(2025,7,31)), U185/DDashboard!$C$8,AND(B185&gt;=DATE(2025,8,1), B185&lt;=DATE(2025,8,31)), U185/DDashboard!$C$9,AND(B185&gt;=DATE(2025,9,1), B185&lt;=DATE(2025,9,30)), U185/DDashboard!$C$10,AND(B185&gt;=DATE(2025,10,1), B185&lt;=DATE(2025,10,31)), U185/DDashboard!$C$11,AND(B185&gt;=DATE(2025,11,1), B185&lt;=DATE(2025,11,30)), U185/DDashboard!$C$12, AND(B185&gt;=DATE(2025,12,1), B185&lt;=DATE(2025,12,31)), U185/DDashboard!$C$13, True, "")
</f>
        <v/>
      </c>
      <c r="W185" s="65" t="str">
        <f t="shared" si="3"/>
        <v/>
      </c>
      <c r="X185" s="155"/>
      <c r="Y185" s="156"/>
      <c r="Z185" s="392"/>
      <c r="AA185" s="390"/>
      <c r="AB185" s="359"/>
      <c r="AC185" s="360"/>
      <c r="AD185" s="358"/>
      <c r="AE185" s="359"/>
      <c r="AF185" s="360"/>
      <c r="AG185" s="160" t="str">
        <f t="shared" si="4"/>
        <v/>
      </c>
      <c r="AH185" s="393" t="str">
        <f t="shared" si="5"/>
        <v/>
      </c>
      <c r="AI185" s="161" t="str">
        <f t="shared" si="24"/>
        <v/>
      </c>
      <c r="AJ185" s="365" t="str">
        <f t="shared" si="7"/>
        <v/>
      </c>
      <c r="AK185" s="162" t="str">
        <f t="shared" si="25"/>
        <v/>
      </c>
      <c r="AL185" s="161" t="str">
        <f t="shared" si="22"/>
        <v/>
      </c>
      <c r="AM185" s="163" t="str">
        <f>IF(AN185="", "", IF(AN185="Closed", IF(ISNUMBER(AF185), AF185-B185,IF(ISNUMBER(AC185), AC185-B185,IF(ISNUMBER(Z185), Z185-B185, ""))), TODAY()-B185))
</f>
        <v/>
      </c>
      <c r="AN185" s="381" t="str">
        <f t="shared" si="11"/>
        <v/>
      </c>
      <c r="AO185" s="366" t="str">
        <f t="shared" si="12"/>
        <v/>
      </c>
      <c r="AP185" s="166" t="str">
        <f t="shared" si="13"/>
        <v/>
      </c>
      <c r="AQ185" s="167" t="str">
        <f t="shared" si="26"/>
        <v/>
      </c>
      <c r="AR185" s="168" t="str">
        <f>IFS(AND(B185&gt;=DATE(2025,1,1), B185&lt;=DATE(2025,1,31)), AQ185/DDashboard!$C$2, AND(B185&gt;=DATE(2025,2,1), B185&lt;=DATE(2025,2,28)), AQ185/DDashboard!$C$3, AND(B185&gt;=DATE(2025,3,1), B185&lt;=DATE(2025,3,31)), AQ185/DDashboard!$C$4, AND(B185&gt;=DATE(2025,4,1), B185&lt;=DATE(2025,4,30)), AQ185/DDashboard!$C$5,AND(B185&gt;=DATE(2025,5,1), B185&lt;=DATE(2025,5,31)), AQ185/DDashboard!$C$6,AND(B185&gt;=DATE(2025,6,1), B185&lt;=DATE(2025,6,30)), AQ185/DDashboard!$C$7,AND(B185&gt;=DATE(2025,7,1), B185&lt;=DATE(2025,7,31)), AQ185/DDashboard!$C$8,AND(B185&gt;=DATE(2025,8,1), B185&lt;=DATE(2025,8,31)), AQ185/DDashboard!$C$9,AND(B185&gt;=DATE(2025,9,1), B185&lt;=DATE(2025,9,30)), AQ185/DDashboard!$C$10,AND(B185&gt;=DATE(2025,10,1), B185&lt;=DATE(2025,10,31)), AQ185/DDashboard!$C$11,AND(B185&gt;=DATE(2025,11,1), B185&lt;=DATE(2025,11,30)), AQ185/DDashboard!$C$12, AND(B185&gt;=DATE(2025,12,1), B185&lt;=DATE(2025,12,31)), AQ185/DDashboard!$C$13, True, "")
</f>
        <v/>
      </c>
      <c r="AS185" s="200" t="str">
        <f t="array" ref="AS185">IF(ISBLANK(C185), "", SUM($AR$9:AR185)
)</f>
        <v/>
      </c>
      <c r="AT185" s="169" t="b">
        <v>0</v>
      </c>
      <c r="AU185" s="169"/>
      <c r="AV185" s="169"/>
      <c r="AW185" s="169"/>
      <c r="AX185" s="183"/>
    </row>
    <row r="186">
      <c r="A186" s="388">
        <v>185.0</v>
      </c>
      <c r="B186" s="184"/>
      <c r="C186" s="185"/>
      <c r="D186" s="410"/>
      <c r="E186" s="417"/>
      <c r="F186" s="188"/>
      <c r="G186" s="397" t="str">
        <f t="shared" si="1"/>
        <v/>
      </c>
      <c r="H186" s="402"/>
      <c r="I186" s="402"/>
      <c r="J186" s="187"/>
      <c r="K186" s="145" t="str">
        <f>IFERROR(__xludf.DUMMYFUNCTION("IF(ISBLANK(C186), """", GOOGLEFINANCE(""NSE:"" &amp; C186,""price""))"),"")</f>
        <v/>
      </c>
      <c r="L186" s="213"/>
      <c r="M186" s="193"/>
      <c r="N186" s="194"/>
      <c r="O186" s="195"/>
      <c r="P186" s="196"/>
      <c r="Q186" s="376"/>
      <c r="R186" s="198"/>
      <c r="S186" s="196"/>
      <c r="T186" s="376"/>
      <c r="U186" s="199" t="str">
        <f t="shared" si="23"/>
        <v/>
      </c>
      <c r="V186" s="200" t="str">
        <f>IFS(AND(B186&gt;=DATE(2025,1,1), B186&lt;=DATE(2025,1,31)), U186/DDashboard!$C$2, AND(B186&gt;=DATE(2025,2,1), B186&lt;=DATE(2025,2,28)), U186/DDashboard!$C$3, AND(B186&gt;=DATE(2025,3,1), B186&lt;=DATE(2025,3,31)), U186/DDashboard!$C$4, AND(B186&gt;=DATE(2025,4,1), B186&lt;=DATE(2025,4,30)), U186/DDashboard!$C$5,AND(B186&gt;=DATE(2025,5,1), B186&lt;=DATE(2025,5,31)), U186/DDashboard!$C$6,AND(B186&gt;=DATE(2025,6,1), B186&lt;=DATE(2025,6,30)), U186/DDashboard!$C$7,AND(B186&gt;=DATE(2025,7,1), B186&lt;=DATE(2025,7,31)), U186/DDashboard!$C$8,AND(B186&gt;=DATE(2025,8,1), B186&lt;=DATE(2025,8,31)), U186/DDashboard!$C$9,AND(B186&gt;=DATE(2025,9,1), B186&lt;=DATE(2025,9,30)), U186/DDashboard!$C$10,AND(B186&gt;=DATE(2025,10,1), B186&lt;=DATE(2025,10,31)), U186/DDashboard!$C$11,AND(B186&gt;=DATE(2025,11,1), B186&lt;=DATE(2025,11,30)), U186/DDashboard!$C$12, AND(B186&gt;=DATE(2025,12,1), B186&lt;=DATE(2025,12,31)), U186/DDashboard!$C$13, True, "")
</f>
        <v/>
      </c>
      <c r="W186" s="201" t="str">
        <f t="shared" si="3"/>
        <v/>
      </c>
      <c r="X186" s="202"/>
      <c r="Y186" s="203"/>
      <c r="Z186" s="391"/>
      <c r="AA186" s="198"/>
      <c r="AB186" s="222"/>
      <c r="AC186" s="223"/>
      <c r="AD186" s="195"/>
      <c r="AE186" s="222"/>
      <c r="AF186" s="223"/>
      <c r="AG186" s="206" t="str">
        <f t="shared" si="4"/>
        <v/>
      </c>
      <c r="AH186" s="385" t="str">
        <f t="shared" si="5"/>
        <v/>
      </c>
      <c r="AI186" s="207" t="str">
        <f t="shared" si="24"/>
        <v/>
      </c>
      <c r="AJ186" s="367" t="str">
        <f t="shared" si="7"/>
        <v/>
      </c>
      <c r="AK186" s="208" t="str">
        <f t="shared" si="25"/>
        <v/>
      </c>
      <c r="AL186" s="207" t="str">
        <f t="shared" si="22"/>
        <v/>
      </c>
      <c r="AM186" s="209" t="str">
        <f>IF(AN186="", "", IF(AN186="Closed", 
    IF(ISNUMBER(AF186), AF186-B186,
        IF(ISNUMBER(AC186), AC186-B186,
            IF(ISNUMBER(Z186), Z186-B186, "")
        )
    ), 
    TODAY()-B186))</f>
        <v/>
      </c>
      <c r="AN186" s="386" t="str">
        <f t="shared" si="11"/>
        <v/>
      </c>
      <c r="AO186" s="366" t="str">
        <f t="shared" si="12"/>
        <v/>
      </c>
      <c r="AP186" s="210" t="str">
        <f t="shared" si="13"/>
        <v/>
      </c>
      <c r="AQ186" s="196" t="str">
        <f t="shared" si="26"/>
        <v/>
      </c>
      <c r="AR186" s="168" t="str">
        <f>IFS(AND(B186&gt;=DATE(2025,1,1), B186&lt;=DATE(2025,1,31)), AQ186/DDashboard!$C$2, AND(B186&gt;=DATE(2025,2,1), B186&lt;=DATE(2025,2,28)), AQ186/DDashboard!$C$3, AND(B186&gt;=DATE(2025,3,1), B186&lt;=DATE(2025,3,31)), AQ186/DDashboard!$C$4, AND(B186&gt;=DATE(2025,4,1), B186&lt;=DATE(2025,4,30)), AQ186/DDashboard!$C$5,AND(B186&gt;=DATE(2025,5,1), B186&lt;=DATE(2025,5,31)), AQ186/DDashboard!$C$6,AND(B186&gt;=DATE(2025,6,1), B186&lt;=DATE(2025,6,30)), AQ186/DDashboard!$C$7,AND(B186&gt;=DATE(2025,7,1), B186&lt;=DATE(2025,7,31)), AQ186/DDashboard!$C$8,AND(B186&gt;=DATE(2025,8,1), B186&lt;=DATE(2025,8,31)), AQ186/DDashboard!$C$9,AND(B186&gt;=DATE(2025,9,1), B186&lt;=DATE(2025,9,30)), AQ186/DDashboard!$C$10,AND(B186&gt;=DATE(2025,10,1), B186&lt;=DATE(2025,10,31)), AQ186/DDashboard!$C$11,AND(B186&gt;=DATE(2025,11,1), B186&lt;=DATE(2025,11,30)), AQ186/DDashboard!$C$12, AND(B186&gt;=DATE(2025,12,1), B186&lt;=DATE(2025,12,31)), AQ186/DDashboard!$C$13, True, "")
</f>
        <v/>
      </c>
      <c r="AS186" s="200" t="str">
        <f t="array" ref="AS186">IF(ISBLANK(C186), "", SUM($AR$9:AR186)
)</f>
        <v/>
      </c>
      <c r="AT186" s="169" t="b">
        <v>0</v>
      </c>
      <c r="AU186" s="169"/>
      <c r="AV186" s="169"/>
      <c r="AW186" s="169"/>
      <c r="AX186" s="387"/>
    </row>
    <row r="187">
      <c r="A187" s="389">
        <v>186.0</v>
      </c>
      <c r="B187" s="138"/>
      <c r="C187" s="139"/>
      <c r="D187" s="409"/>
      <c r="E187" s="414"/>
      <c r="F187" s="142"/>
      <c r="G187" s="398" t="str">
        <f t="shared" si="1"/>
        <v/>
      </c>
      <c r="H187" s="399"/>
      <c r="I187" s="399"/>
      <c r="J187" s="141"/>
      <c r="K187" s="145" t="str">
        <f>IFERROR(__xludf.DUMMYFUNCTION("IF(ISBLANK(C187), """", GOOGLEFINANCE(""NSE:"" &amp; C187,""price""))"),"")</f>
        <v/>
      </c>
      <c r="L187" s="146"/>
      <c r="M187" s="147"/>
      <c r="N187" s="148"/>
      <c r="O187" s="149"/>
      <c r="P187" s="150"/>
      <c r="Q187" s="377"/>
      <c r="R187" s="152"/>
      <c r="S187" s="150"/>
      <c r="T187" s="377"/>
      <c r="U187" s="153" t="str">
        <f t="shared" si="23"/>
        <v/>
      </c>
      <c r="V187" s="154" t="str">
        <f>IFS(AND(B187&gt;=DATE(2025,1,1), B187&lt;=DATE(2025,1,31)), U187/DDashboard!$C$2, AND(B187&gt;=DATE(2025,2,1), B187&lt;=DATE(2025,2,28)), U187/DDashboard!$C$3, AND(B187&gt;=DATE(2025,3,1), B187&lt;=DATE(2025,3,31)), U187/DDashboard!$C$4, AND(B187&gt;=DATE(2025,4,1), B187&lt;=DATE(2025,4,30)), U187/DDashboard!$C$5,AND(B187&gt;=DATE(2025,5,1), B187&lt;=DATE(2025,5,31)), U187/DDashboard!$C$6,AND(B187&gt;=DATE(2025,6,1), B187&lt;=DATE(2025,6,30)), U187/DDashboard!$C$7,AND(B187&gt;=DATE(2025,7,1), B187&lt;=DATE(2025,7,31)), U187/DDashboard!$C$8,AND(B187&gt;=DATE(2025,8,1), B187&lt;=DATE(2025,8,31)), U187/DDashboard!$C$9,AND(B187&gt;=DATE(2025,9,1), B187&lt;=DATE(2025,9,30)), U187/DDashboard!$C$10,AND(B187&gt;=DATE(2025,10,1), B187&lt;=DATE(2025,10,31)), U187/DDashboard!$C$11,AND(B187&gt;=DATE(2025,11,1), B187&lt;=DATE(2025,11,30)), U187/DDashboard!$C$12, AND(B187&gt;=DATE(2025,12,1), B187&lt;=DATE(2025,12,31)), U187/DDashboard!$C$13, True, "")
</f>
        <v/>
      </c>
      <c r="W187" s="65" t="str">
        <f t="shared" si="3"/>
        <v/>
      </c>
      <c r="X187" s="155"/>
      <c r="Y187" s="156"/>
      <c r="Z187" s="392"/>
      <c r="AA187" s="390"/>
      <c r="AB187" s="359"/>
      <c r="AC187" s="360"/>
      <c r="AD187" s="358"/>
      <c r="AE187" s="359"/>
      <c r="AF187" s="360"/>
      <c r="AG187" s="160" t="str">
        <f t="shared" si="4"/>
        <v/>
      </c>
      <c r="AH187" s="393" t="str">
        <f t="shared" si="5"/>
        <v/>
      </c>
      <c r="AI187" s="161" t="str">
        <f t="shared" si="24"/>
        <v/>
      </c>
      <c r="AJ187" s="365" t="str">
        <f t="shared" si="7"/>
        <v/>
      </c>
      <c r="AK187" s="162" t="str">
        <f t="shared" si="25"/>
        <v/>
      </c>
      <c r="AL187" s="161" t="str">
        <f t="shared" si="22"/>
        <v/>
      </c>
      <c r="AM187" s="163" t="str">
        <f>IF(AN187="", "", IF(AN187="Closed", IF(ISNUMBER(AF187), AF187-B187,IF(ISNUMBER(AC187), AC187-B187,IF(ISNUMBER(Z187), Z187-B187, ""))), TODAY()-B187))
</f>
        <v/>
      </c>
      <c r="AN187" s="381" t="str">
        <f t="shared" si="11"/>
        <v/>
      </c>
      <c r="AO187" s="366" t="str">
        <f t="shared" si="12"/>
        <v/>
      </c>
      <c r="AP187" s="166" t="str">
        <f t="shared" si="13"/>
        <v/>
      </c>
      <c r="AQ187" s="167" t="str">
        <f t="shared" si="26"/>
        <v/>
      </c>
      <c r="AR187" s="168" t="str">
        <f>IFS(AND(B187&gt;=DATE(2025,1,1), B187&lt;=DATE(2025,1,31)), AQ187/DDashboard!$C$2, AND(B187&gt;=DATE(2025,2,1), B187&lt;=DATE(2025,2,28)), AQ187/DDashboard!$C$3, AND(B187&gt;=DATE(2025,3,1), B187&lt;=DATE(2025,3,31)), AQ187/DDashboard!$C$4, AND(B187&gt;=DATE(2025,4,1), B187&lt;=DATE(2025,4,30)), AQ187/DDashboard!$C$5,AND(B187&gt;=DATE(2025,5,1), B187&lt;=DATE(2025,5,31)), AQ187/DDashboard!$C$6,AND(B187&gt;=DATE(2025,6,1), B187&lt;=DATE(2025,6,30)), AQ187/DDashboard!$C$7,AND(B187&gt;=DATE(2025,7,1), B187&lt;=DATE(2025,7,31)), AQ187/DDashboard!$C$8,AND(B187&gt;=DATE(2025,8,1), B187&lt;=DATE(2025,8,31)), AQ187/DDashboard!$C$9,AND(B187&gt;=DATE(2025,9,1), B187&lt;=DATE(2025,9,30)), AQ187/DDashboard!$C$10,AND(B187&gt;=DATE(2025,10,1), B187&lt;=DATE(2025,10,31)), AQ187/DDashboard!$C$11,AND(B187&gt;=DATE(2025,11,1), B187&lt;=DATE(2025,11,30)), AQ187/DDashboard!$C$12, AND(B187&gt;=DATE(2025,12,1), B187&lt;=DATE(2025,12,31)), AQ187/DDashboard!$C$13, True, "")
</f>
        <v/>
      </c>
      <c r="AS187" s="200" t="str">
        <f t="array" ref="AS187">IF(ISBLANK(C187), "", SUM($AR$9:AR187)
)</f>
        <v/>
      </c>
      <c r="AT187" s="169" t="b">
        <v>0</v>
      </c>
      <c r="AU187" s="169"/>
      <c r="AV187" s="169"/>
      <c r="AW187" s="169"/>
      <c r="AX187" s="383"/>
    </row>
    <row r="188">
      <c r="A188" s="388">
        <v>187.0</v>
      </c>
      <c r="B188" s="184"/>
      <c r="C188" s="185"/>
      <c r="D188" s="410"/>
      <c r="E188" s="417"/>
      <c r="F188" s="188"/>
      <c r="G188" s="397" t="str">
        <f t="shared" si="1"/>
        <v/>
      </c>
      <c r="H188" s="402"/>
      <c r="I188" s="402"/>
      <c r="J188" s="187"/>
      <c r="K188" s="145" t="str">
        <f>IFERROR(__xludf.DUMMYFUNCTION("IF(ISBLANK(C188), """", GOOGLEFINANCE(""NSE:"" &amp; C188,""price""))"),"")</f>
        <v/>
      </c>
      <c r="L188" s="213"/>
      <c r="M188" s="193"/>
      <c r="N188" s="194"/>
      <c r="O188" s="195"/>
      <c r="P188" s="196"/>
      <c r="Q188" s="376"/>
      <c r="R188" s="198"/>
      <c r="S188" s="196"/>
      <c r="T188" s="376"/>
      <c r="U188" s="199" t="str">
        <f t="shared" si="23"/>
        <v/>
      </c>
      <c r="V188" s="200" t="str">
        <f>IFS(AND(B188&gt;=DATE(2025,1,1), B188&lt;=DATE(2025,1,31)), U188/DDashboard!$C$2, AND(B188&gt;=DATE(2025,2,1), B188&lt;=DATE(2025,2,28)), U188/DDashboard!$C$3, AND(B188&gt;=DATE(2025,3,1), B188&lt;=DATE(2025,3,31)), U188/DDashboard!$C$4, AND(B188&gt;=DATE(2025,4,1), B188&lt;=DATE(2025,4,30)), U188/DDashboard!$C$5,AND(B188&gt;=DATE(2025,5,1), B188&lt;=DATE(2025,5,31)), U188/DDashboard!$C$6,AND(B188&gt;=DATE(2025,6,1), B188&lt;=DATE(2025,6,30)), U188/DDashboard!$C$7,AND(B188&gt;=DATE(2025,7,1), B188&lt;=DATE(2025,7,31)), U188/DDashboard!$C$8,AND(B188&gt;=DATE(2025,8,1), B188&lt;=DATE(2025,8,31)), U188/DDashboard!$C$9,AND(B188&gt;=DATE(2025,9,1), B188&lt;=DATE(2025,9,30)), U188/DDashboard!$C$10,AND(B188&gt;=DATE(2025,10,1), B188&lt;=DATE(2025,10,31)), U188/DDashboard!$C$11,AND(B188&gt;=DATE(2025,11,1), B188&lt;=DATE(2025,11,30)), U188/DDashboard!$C$12, AND(B188&gt;=DATE(2025,12,1), B188&lt;=DATE(2025,12,31)), U188/DDashboard!$C$13, True, "")
</f>
        <v/>
      </c>
      <c r="W188" s="201" t="str">
        <f t="shared" si="3"/>
        <v/>
      </c>
      <c r="X188" s="202"/>
      <c r="Y188" s="203"/>
      <c r="Z188" s="391"/>
      <c r="AA188" s="198"/>
      <c r="AB188" s="222"/>
      <c r="AC188" s="223"/>
      <c r="AD188" s="195"/>
      <c r="AE188" s="222"/>
      <c r="AF188" s="223"/>
      <c r="AG188" s="206" t="str">
        <f t="shared" si="4"/>
        <v/>
      </c>
      <c r="AH188" s="385" t="str">
        <f t="shared" si="5"/>
        <v/>
      </c>
      <c r="AI188" s="207" t="str">
        <f t="shared" si="24"/>
        <v/>
      </c>
      <c r="AJ188" s="367" t="str">
        <f t="shared" si="7"/>
        <v/>
      </c>
      <c r="AK188" s="208" t="str">
        <f t="shared" si="25"/>
        <v/>
      </c>
      <c r="AL188" s="207" t="str">
        <f t="shared" si="22"/>
        <v/>
      </c>
      <c r="AM188" s="209" t="str">
        <f>IF(AN188="", "", IF(AN188="Closed", 
    IF(ISNUMBER(AF188), AF188-B188,
        IF(ISNUMBER(AC188), AC188-B188,
            IF(ISNUMBER(Z188), Z188-B188, "")
        )
    ), 
    TODAY()-B188))</f>
        <v/>
      </c>
      <c r="AN188" s="386" t="str">
        <f t="shared" si="11"/>
        <v/>
      </c>
      <c r="AO188" s="366" t="str">
        <f t="shared" si="12"/>
        <v/>
      </c>
      <c r="AP188" s="210" t="str">
        <f t="shared" si="13"/>
        <v/>
      </c>
      <c r="AQ188" s="196" t="str">
        <f t="shared" si="26"/>
        <v/>
      </c>
      <c r="AR188" s="168" t="str">
        <f>IFS(AND(B188&gt;=DATE(2025,1,1), B188&lt;=DATE(2025,1,31)), AQ188/DDashboard!$C$2, AND(B188&gt;=DATE(2025,2,1), B188&lt;=DATE(2025,2,28)), AQ188/DDashboard!$C$3, AND(B188&gt;=DATE(2025,3,1), B188&lt;=DATE(2025,3,31)), AQ188/DDashboard!$C$4, AND(B188&gt;=DATE(2025,4,1), B188&lt;=DATE(2025,4,30)), AQ188/DDashboard!$C$5,AND(B188&gt;=DATE(2025,5,1), B188&lt;=DATE(2025,5,31)), AQ188/DDashboard!$C$6,AND(B188&gt;=DATE(2025,6,1), B188&lt;=DATE(2025,6,30)), AQ188/DDashboard!$C$7,AND(B188&gt;=DATE(2025,7,1), B188&lt;=DATE(2025,7,31)), AQ188/DDashboard!$C$8,AND(B188&gt;=DATE(2025,8,1), B188&lt;=DATE(2025,8,31)), AQ188/DDashboard!$C$9,AND(B188&gt;=DATE(2025,9,1), B188&lt;=DATE(2025,9,30)), AQ188/DDashboard!$C$10,AND(B188&gt;=DATE(2025,10,1), B188&lt;=DATE(2025,10,31)), AQ188/DDashboard!$C$11,AND(B188&gt;=DATE(2025,11,1), B188&lt;=DATE(2025,11,30)), AQ188/DDashboard!$C$12, AND(B188&gt;=DATE(2025,12,1), B188&lt;=DATE(2025,12,31)), AQ188/DDashboard!$C$13, True, "")
</f>
        <v/>
      </c>
      <c r="AS188" s="200" t="str">
        <f t="array" ref="AS188">IF(ISBLANK(C188), "", SUM($AR$9:AR188)
)</f>
        <v/>
      </c>
      <c r="AT188" s="169" t="b">
        <v>0</v>
      </c>
      <c r="AU188" s="169"/>
      <c r="AV188" s="169"/>
      <c r="AW188" s="169"/>
      <c r="AX188" s="32"/>
    </row>
    <row r="189">
      <c r="A189" s="389">
        <v>188.0</v>
      </c>
      <c r="B189" s="138"/>
      <c r="C189" s="139"/>
      <c r="D189" s="409"/>
      <c r="E189" s="414"/>
      <c r="F189" s="142"/>
      <c r="G189" s="398" t="str">
        <f t="shared" si="1"/>
        <v/>
      </c>
      <c r="H189" s="399"/>
      <c r="I189" s="399"/>
      <c r="J189" s="141"/>
      <c r="K189" s="145" t="str">
        <f>IFERROR(__xludf.DUMMYFUNCTION("IF(ISBLANK(C189), """", GOOGLEFINANCE(""NSE:"" &amp; C189,""price""))"),"")</f>
        <v/>
      </c>
      <c r="L189" s="146"/>
      <c r="M189" s="147"/>
      <c r="N189" s="148"/>
      <c r="O189" s="149"/>
      <c r="P189" s="150"/>
      <c r="Q189" s="377"/>
      <c r="R189" s="152"/>
      <c r="S189" s="150"/>
      <c r="T189" s="377"/>
      <c r="U189" s="153" t="str">
        <f t="shared" si="23"/>
        <v/>
      </c>
      <c r="V189" s="154" t="str">
        <f>IFS(AND(B189&gt;=DATE(2025,1,1), B189&lt;=DATE(2025,1,31)), U189/DDashboard!$C$2, AND(B189&gt;=DATE(2025,2,1), B189&lt;=DATE(2025,2,28)), U189/DDashboard!$C$3, AND(B189&gt;=DATE(2025,3,1), B189&lt;=DATE(2025,3,31)), U189/DDashboard!$C$4, AND(B189&gt;=DATE(2025,4,1), B189&lt;=DATE(2025,4,30)), U189/DDashboard!$C$5,AND(B189&gt;=DATE(2025,5,1), B189&lt;=DATE(2025,5,31)), U189/DDashboard!$C$6,AND(B189&gt;=DATE(2025,6,1), B189&lt;=DATE(2025,6,30)), U189/DDashboard!$C$7,AND(B189&gt;=DATE(2025,7,1), B189&lt;=DATE(2025,7,31)), U189/DDashboard!$C$8,AND(B189&gt;=DATE(2025,8,1), B189&lt;=DATE(2025,8,31)), U189/DDashboard!$C$9,AND(B189&gt;=DATE(2025,9,1), B189&lt;=DATE(2025,9,30)), U189/DDashboard!$C$10,AND(B189&gt;=DATE(2025,10,1), B189&lt;=DATE(2025,10,31)), U189/DDashboard!$C$11,AND(B189&gt;=DATE(2025,11,1), B189&lt;=DATE(2025,11,30)), U189/DDashboard!$C$12, AND(B189&gt;=DATE(2025,12,1), B189&lt;=DATE(2025,12,31)), U189/DDashboard!$C$13, True, "")
</f>
        <v/>
      </c>
      <c r="W189" s="65" t="str">
        <f t="shared" si="3"/>
        <v/>
      </c>
      <c r="X189" s="155"/>
      <c r="Y189" s="156"/>
      <c r="Z189" s="392"/>
      <c r="AA189" s="390"/>
      <c r="AB189" s="359"/>
      <c r="AC189" s="360"/>
      <c r="AD189" s="358"/>
      <c r="AE189" s="359"/>
      <c r="AF189" s="360"/>
      <c r="AG189" s="160" t="str">
        <f t="shared" si="4"/>
        <v/>
      </c>
      <c r="AH189" s="393" t="str">
        <f t="shared" si="5"/>
        <v/>
      </c>
      <c r="AI189" s="161" t="str">
        <f t="shared" si="24"/>
        <v/>
      </c>
      <c r="AJ189" s="365" t="str">
        <f t="shared" si="7"/>
        <v/>
      </c>
      <c r="AK189" s="162" t="str">
        <f t="shared" si="25"/>
        <v/>
      </c>
      <c r="AL189" s="161" t="str">
        <f t="shared" si="22"/>
        <v/>
      </c>
      <c r="AM189" s="163" t="str">
        <f>IF(AN189="", "", IF(AN189="Closed", IF(ISNUMBER(AF189), AF189-B189,IF(ISNUMBER(AC189), AC189-B189,IF(ISNUMBER(Z189), Z189-B189, ""))), TODAY()-B189))
</f>
        <v/>
      </c>
      <c r="AN189" s="381" t="str">
        <f t="shared" si="11"/>
        <v/>
      </c>
      <c r="AO189" s="366" t="str">
        <f t="shared" si="12"/>
        <v/>
      </c>
      <c r="AP189" s="166" t="str">
        <f t="shared" si="13"/>
        <v/>
      </c>
      <c r="AQ189" s="167" t="str">
        <f t="shared" si="26"/>
        <v/>
      </c>
      <c r="AR189" s="168" t="str">
        <f>IFS(AND(B189&gt;=DATE(2025,1,1), B189&lt;=DATE(2025,1,31)), AQ189/DDashboard!$C$2, AND(B189&gt;=DATE(2025,2,1), B189&lt;=DATE(2025,2,28)), AQ189/DDashboard!$C$3, AND(B189&gt;=DATE(2025,3,1), B189&lt;=DATE(2025,3,31)), AQ189/DDashboard!$C$4, AND(B189&gt;=DATE(2025,4,1), B189&lt;=DATE(2025,4,30)), AQ189/DDashboard!$C$5,AND(B189&gt;=DATE(2025,5,1), B189&lt;=DATE(2025,5,31)), AQ189/DDashboard!$C$6,AND(B189&gt;=DATE(2025,6,1), B189&lt;=DATE(2025,6,30)), AQ189/DDashboard!$C$7,AND(B189&gt;=DATE(2025,7,1), B189&lt;=DATE(2025,7,31)), AQ189/DDashboard!$C$8,AND(B189&gt;=DATE(2025,8,1), B189&lt;=DATE(2025,8,31)), AQ189/DDashboard!$C$9,AND(B189&gt;=DATE(2025,9,1), B189&lt;=DATE(2025,9,30)), AQ189/DDashboard!$C$10,AND(B189&gt;=DATE(2025,10,1), B189&lt;=DATE(2025,10,31)), AQ189/DDashboard!$C$11,AND(B189&gt;=DATE(2025,11,1), B189&lt;=DATE(2025,11,30)), AQ189/DDashboard!$C$12, AND(B189&gt;=DATE(2025,12,1), B189&lt;=DATE(2025,12,31)), AQ189/DDashboard!$C$13, True, "")
</f>
        <v/>
      </c>
      <c r="AS189" s="200" t="str">
        <f t="array" ref="AS189">IF(ISBLANK(C189), "", SUM($AR$9:AR189)
)</f>
        <v/>
      </c>
      <c r="AT189" s="169" t="b">
        <v>0</v>
      </c>
      <c r="AU189" s="169"/>
      <c r="AV189" s="169"/>
      <c r="AW189" s="169"/>
      <c r="AX189" s="383"/>
    </row>
    <row r="190">
      <c r="A190" s="388">
        <v>189.0</v>
      </c>
      <c r="B190" s="184"/>
      <c r="C190" s="185"/>
      <c r="D190" s="410"/>
      <c r="E190" s="417"/>
      <c r="F190" s="188"/>
      <c r="G190" s="397" t="str">
        <f t="shared" si="1"/>
        <v/>
      </c>
      <c r="H190" s="402"/>
      <c r="I190" s="402"/>
      <c r="J190" s="187"/>
      <c r="K190" s="145" t="str">
        <f>IFERROR(__xludf.DUMMYFUNCTION("IF(ISBLANK(C190), """", GOOGLEFINANCE(""NSE:"" &amp; C190,""price""))"),"")</f>
        <v/>
      </c>
      <c r="L190" s="213"/>
      <c r="M190" s="193"/>
      <c r="N190" s="194"/>
      <c r="O190" s="195"/>
      <c r="P190" s="196"/>
      <c r="Q190" s="376"/>
      <c r="R190" s="198"/>
      <c r="S190" s="196"/>
      <c r="T190" s="376"/>
      <c r="U190" s="199" t="str">
        <f t="shared" si="23"/>
        <v/>
      </c>
      <c r="V190" s="200" t="str">
        <f>IFS(AND(B190&gt;=DATE(2025,1,1), B190&lt;=DATE(2025,1,31)), U190/DDashboard!$C$2, AND(B190&gt;=DATE(2025,2,1), B190&lt;=DATE(2025,2,28)), U190/DDashboard!$C$3, AND(B190&gt;=DATE(2025,3,1), B190&lt;=DATE(2025,3,31)), U190/DDashboard!$C$4, AND(B190&gt;=DATE(2025,4,1), B190&lt;=DATE(2025,4,30)), U190/DDashboard!$C$5,AND(B190&gt;=DATE(2025,5,1), B190&lt;=DATE(2025,5,31)), U190/DDashboard!$C$6,AND(B190&gt;=DATE(2025,6,1), B190&lt;=DATE(2025,6,30)), U190/DDashboard!$C$7,AND(B190&gt;=DATE(2025,7,1), B190&lt;=DATE(2025,7,31)), U190/DDashboard!$C$8,AND(B190&gt;=DATE(2025,8,1), B190&lt;=DATE(2025,8,31)), U190/DDashboard!$C$9,AND(B190&gt;=DATE(2025,9,1), B190&lt;=DATE(2025,9,30)), U190/DDashboard!$C$10,AND(B190&gt;=DATE(2025,10,1), B190&lt;=DATE(2025,10,31)), U190/DDashboard!$C$11,AND(B190&gt;=DATE(2025,11,1), B190&lt;=DATE(2025,11,30)), U190/DDashboard!$C$12, AND(B190&gt;=DATE(2025,12,1), B190&lt;=DATE(2025,12,31)), U190/DDashboard!$C$13, True, "")
</f>
        <v/>
      </c>
      <c r="W190" s="201" t="str">
        <f t="shared" si="3"/>
        <v/>
      </c>
      <c r="X190" s="202"/>
      <c r="Y190" s="203"/>
      <c r="Z190" s="391"/>
      <c r="AA190" s="198"/>
      <c r="AB190" s="222"/>
      <c r="AC190" s="223"/>
      <c r="AD190" s="195"/>
      <c r="AE190" s="222"/>
      <c r="AF190" s="223"/>
      <c r="AG190" s="206" t="str">
        <f t="shared" si="4"/>
        <v/>
      </c>
      <c r="AH190" s="385" t="str">
        <f t="shared" si="5"/>
        <v/>
      </c>
      <c r="AI190" s="207" t="str">
        <f t="shared" si="24"/>
        <v/>
      </c>
      <c r="AJ190" s="367" t="str">
        <f t="shared" si="7"/>
        <v/>
      </c>
      <c r="AK190" s="208" t="str">
        <f t="shared" si="25"/>
        <v/>
      </c>
      <c r="AL190" s="207" t="str">
        <f t="shared" si="22"/>
        <v/>
      </c>
      <c r="AM190" s="209" t="str">
        <f>IF(AN190="", "", IF(AN190="Closed", 
    IF(ISNUMBER(AF190), AF190-B190,
        IF(ISNUMBER(AC190), AC190-B190,
            IF(ISNUMBER(Z190), Z190-B190, "")
        )
    ), 
    TODAY()-B190))</f>
        <v/>
      </c>
      <c r="AN190" s="386" t="str">
        <f t="shared" si="11"/>
        <v/>
      </c>
      <c r="AO190" s="366" t="str">
        <f t="shared" si="12"/>
        <v/>
      </c>
      <c r="AP190" s="210" t="str">
        <f t="shared" si="13"/>
        <v/>
      </c>
      <c r="AQ190" s="196" t="str">
        <f t="shared" si="26"/>
        <v/>
      </c>
      <c r="AR190" s="168" t="str">
        <f>IFS(AND(B190&gt;=DATE(2025,1,1), B190&lt;=DATE(2025,1,31)), AQ190/DDashboard!$C$2, AND(B190&gt;=DATE(2025,2,1), B190&lt;=DATE(2025,2,28)), AQ190/DDashboard!$C$3, AND(B190&gt;=DATE(2025,3,1), B190&lt;=DATE(2025,3,31)), AQ190/DDashboard!$C$4, AND(B190&gt;=DATE(2025,4,1), B190&lt;=DATE(2025,4,30)), AQ190/DDashboard!$C$5,AND(B190&gt;=DATE(2025,5,1), B190&lt;=DATE(2025,5,31)), AQ190/DDashboard!$C$6,AND(B190&gt;=DATE(2025,6,1), B190&lt;=DATE(2025,6,30)), AQ190/DDashboard!$C$7,AND(B190&gt;=DATE(2025,7,1), B190&lt;=DATE(2025,7,31)), AQ190/DDashboard!$C$8,AND(B190&gt;=DATE(2025,8,1), B190&lt;=DATE(2025,8,31)), AQ190/DDashboard!$C$9,AND(B190&gt;=DATE(2025,9,1), B190&lt;=DATE(2025,9,30)), AQ190/DDashboard!$C$10,AND(B190&gt;=DATE(2025,10,1), B190&lt;=DATE(2025,10,31)), AQ190/DDashboard!$C$11,AND(B190&gt;=DATE(2025,11,1), B190&lt;=DATE(2025,11,30)), AQ190/DDashboard!$C$12, AND(B190&gt;=DATE(2025,12,1), B190&lt;=DATE(2025,12,31)), AQ190/DDashboard!$C$13, True, "")
</f>
        <v/>
      </c>
      <c r="AS190" s="200" t="str">
        <f t="array" ref="AS190">IF(ISBLANK(C190), "", SUM($AR$9:AR190)
)</f>
        <v/>
      </c>
      <c r="AT190" s="169" t="b">
        <v>0</v>
      </c>
      <c r="AU190" s="169"/>
      <c r="AV190" s="169"/>
      <c r="AW190" s="169"/>
      <c r="AX190" s="387"/>
    </row>
    <row r="191">
      <c r="A191" s="389">
        <v>190.0</v>
      </c>
      <c r="B191" s="138"/>
      <c r="C191" s="139"/>
      <c r="D191" s="409"/>
      <c r="E191" s="414"/>
      <c r="F191" s="142"/>
      <c r="G191" s="398" t="str">
        <f t="shared" si="1"/>
        <v/>
      </c>
      <c r="H191" s="399"/>
      <c r="I191" s="399"/>
      <c r="J191" s="141"/>
      <c r="K191" s="145" t="str">
        <f>IFERROR(__xludf.DUMMYFUNCTION("IF(ISBLANK(C191), """", GOOGLEFINANCE(""NSE:"" &amp; C191,""price""))"),"")</f>
        <v/>
      </c>
      <c r="L191" s="146"/>
      <c r="M191" s="147"/>
      <c r="N191" s="148"/>
      <c r="O191" s="149"/>
      <c r="P191" s="150"/>
      <c r="Q191" s="377"/>
      <c r="R191" s="152"/>
      <c r="S191" s="150"/>
      <c r="T191" s="377"/>
      <c r="U191" s="153" t="str">
        <f t="shared" si="23"/>
        <v/>
      </c>
      <c r="V191" s="154" t="str">
        <f>IFS(AND(B191&gt;=DATE(2025,1,1), B191&lt;=DATE(2025,1,31)), U191/DDashboard!$C$2, AND(B191&gt;=DATE(2025,2,1), B191&lt;=DATE(2025,2,28)), U191/DDashboard!$C$3, AND(B191&gt;=DATE(2025,3,1), B191&lt;=DATE(2025,3,31)), U191/DDashboard!$C$4, AND(B191&gt;=DATE(2025,4,1), B191&lt;=DATE(2025,4,30)), U191/DDashboard!$C$5,AND(B191&gt;=DATE(2025,5,1), B191&lt;=DATE(2025,5,31)), U191/DDashboard!$C$6,AND(B191&gt;=DATE(2025,6,1), B191&lt;=DATE(2025,6,30)), U191/DDashboard!$C$7,AND(B191&gt;=DATE(2025,7,1), B191&lt;=DATE(2025,7,31)), U191/DDashboard!$C$8,AND(B191&gt;=DATE(2025,8,1), B191&lt;=DATE(2025,8,31)), U191/DDashboard!$C$9,AND(B191&gt;=DATE(2025,9,1), B191&lt;=DATE(2025,9,30)), U191/DDashboard!$C$10,AND(B191&gt;=DATE(2025,10,1), B191&lt;=DATE(2025,10,31)), U191/DDashboard!$C$11,AND(B191&gt;=DATE(2025,11,1), B191&lt;=DATE(2025,11,30)), U191/DDashboard!$C$12, AND(B191&gt;=DATE(2025,12,1), B191&lt;=DATE(2025,12,31)), U191/DDashboard!$C$13, True, "")
</f>
        <v/>
      </c>
      <c r="W191" s="65" t="str">
        <f t="shared" si="3"/>
        <v/>
      </c>
      <c r="X191" s="155"/>
      <c r="Y191" s="156"/>
      <c r="Z191" s="392"/>
      <c r="AA191" s="390"/>
      <c r="AB191" s="359"/>
      <c r="AC191" s="360"/>
      <c r="AD191" s="358"/>
      <c r="AE191" s="359"/>
      <c r="AF191" s="360"/>
      <c r="AG191" s="160" t="str">
        <f t="shared" si="4"/>
        <v/>
      </c>
      <c r="AH191" s="393" t="str">
        <f t="shared" si="5"/>
        <v/>
      </c>
      <c r="AI191" s="161" t="str">
        <f t="shared" si="24"/>
        <v/>
      </c>
      <c r="AJ191" s="365" t="str">
        <f t="shared" si="7"/>
        <v/>
      </c>
      <c r="AK191" s="162" t="str">
        <f t="shared" si="25"/>
        <v/>
      </c>
      <c r="AL191" s="161" t="str">
        <f t="shared" si="22"/>
        <v/>
      </c>
      <c r="AM191" s="163" t="str">
        <f>IF(AN191="", "", IF(AN191="Closed", IF(ISNUMBER(AF191), AF191-B191,IF(ISNUMBER(AC191), AC191-B191,IF(ISNUMBER(Z191), Z191-B191, ""))), TODAY()-B191))
</f>
        <v/>
      </c>
      <c r="AN191" s="381" t="str">
        <f t="shared" si="11"/>
        <v/>
      </c>
      <c r="AO191" s="366" t="str">
        <f t="shared" si="12"/>
        <v/>
      </c>
      <c r="AP191" s="166" t="str">
        <f t="shared" si="13"/>
        <v/>
      </c>
      <c r="AQ191" s="167" t="str">
        <f t="shared" si="26"/>
        <v/>
      </c>
      <c r="AR191" s="168" t="str">
        <f>IFS(AND(B191&gt;=DATE(2025,1,1), B191&lt;=DATE(2025,1,31)), AQ191/DDashboard!$C$2, AND(B191&gt;=DATE(2025,2,1), B191&lt;=DATE(2025,2,28)), AQ191/DDashboard!$C$3, AND(B191&gt;=DATE(2025,3,1), B191&lt;=DATE(2025,3,31)), AQ191/DDashboard!$C$4, AND(B191&gt;=DATE(2025,4,1), B191&lt;=DATE(2025,4,30)), AQ191/DDashboard!$C$5,AND(B191&gt;=DATE(2025,5,1), B191&lt;=DATE(2025,5,31)), AQ191/DDashboard!$C$6,AND(B191&gt;=DATE(2025,6,1), B191&lt;=DATE(2025,6,30)), AQ191/DDashboard!$C$7,AND(B191&gt;=DATE(2025,7,1), B191&lt;=DATE(2025,7,31)), AQ191/DDashboard!$C$8,AND(B191&gt;=DATE(2025,8,1), B191&lt;=DATE(2025,8,31)), AQ191/DDashboard!$C$9,AND(B191&gt;=DATE(2025,9,1), B191&lt;=DATE(2025,9,30)), AQ191/DDashboard!$C$10,AND(B191&gt;=DATE(2025,10,1), B191&lt;=DATE(2025,10,31)), AQ191/DDashboard!$C$11,AND(B191&gt;=DATE(2025,11,1), B191&lt;=DATE(2025,11,30)), AQ191/DDashboard!$C$12, AND(B191&gt;=DATE(2025,12,1), B191&lt;=DATE(2025,12,31)), AQ191/DDashboard!$C$13, True, "")
</f>
        <v/>
      </c>
      <c r="AS191" s="200" t="str">
        <f t="array" ref="AS191">IF(ISBLANK(C191), "", SUM($AR$9:AR191)
)</f>
        <v/>
      </c>
      <c r="AT191" s="169" t="b">
        <v>0</v>
      </c>
      <c r="AU191" s="169"/>
      <c r="AV191" s="169"/>
      <c r="AW191" s="169"/>
      <c r="AX191" s="383"/>
    </row>
    <row r="192">
      <c r="A192" s="388">
        <v>191.0</v>
      </c>
      <c r="B192" s="184"/>
      <c r="C192" s="185"/>
      <c r="D192" s="404"/>
      <c r="E192" s="404"/>
      <c r="F192" s="188"/>
      <c r="G192" s="397" t="str">
        <f t="shared" si="1"/>
        <v/>
      </c>
      <c r="H192" s="190"/>
      <c r="I192" s="402"/>
      <c r="J192" s="187"/>
      <c r="K192" s="145" t="str">
        <f>IFERROR(__xludf.DUMMYFUNCTION("IF(ISBLANK(C192), """", GOOGLEFINANCE(""NSE:"" &amp; C192,""price""))"),"")</f>
        <v/>
      </c>
      <c r="L192" s="213"/>
      <c r="M192" s="193"/>
      <c r="N192" s="194"/>
      <c r="O192" s="195"/>
      <c r="P192" s="196"/>
      <c r="Q192" s="376"/>
      <c r="R192" s="198"/>
      <c r="S192" s="196"/>
      <c r="T192" s="376"/>
      <c r="U192" s="199" t="str">
        <f t="shared" si="23"/>
        <v/>
      </c>
      <c r="V192" s="200" t="str">
        <f>IFS(AND(B192&gt;=DATE(2025,1,1), B192&lt;=DATE(2025,1,31)), U192/DDashboard!$C$2, AND(B192&gt;=DATE(2025,2,1), B192&lt;=DATE(2025,2,28)), U192/DDashboard!$C$3, AND(B192&gt;=DATE(2025,3,1), B192&lt;=DATE(2025,3,31)), U192/DDashboard!$C$4, AND(B192&gt;=DATE(2025,4,1), B192&lt;=DATE(2025,4,30)), U192/DDashboard!$C$5,AND(B192&gt;=DATE(2025,5,1), B192&lt;=DATE(2025,5,31)), U192/DDashboard!$C$6,AND(B192&gt;=DATE(2025,6,1), B192&lt;=DATE(2025,6,30)), U192/DDashboard!$C$7,AND(B192&gt;=DATE(2025,7,1), B192&lt;=DATE(2025,7,31)), U192/DDashboard!$C$8,AND(B192&gt;=DATE(2025,8,1), B192&lt;=DATE(2025,8,31)), U192/DDashboard!$C$9,AND(B192&gt;=DATE(2025,9,1), B192&lt;=DATE(2025,9,30)), U192/DDashboard!$C$10,AND(B192&gt;=DATE(2025,10,1), B192&lt;=DATE(2025,10,31)), U192/DDashboard!$C$11,AND(B192&gt;=DATE(2025,11,1), B192&lt;=DATE(2025,11,30)), U192/DDashboard!$C$12, AND(B192&gt;=DATE(2025,12,1), B192&lt;=DATE(2025,12,31)), U192/DDashboard!$C$13, True, "")
</f>
        <v/>
      </c>
      <c r="W192" s="201" t="str">
        <f t="shared" si="3"/>
        <v/>
      </c>
      <c r="X192" s="202"/>
      <c r="Y192" s="203"/>
      <c r="Z192" s="391"/>
      <c r="AA192" s="198"/>
      <c r="AB192" s="222"/>
      <c r="AC192" s="223"/>
      <c r="AD192" s="195"/>
      <c r="AE192" s="222"/>
      <c r="AF192" s="223"/>
      <c r="AG192" s="206" t="str">
        <f t="shared" si="4"/>
        <v/>
      </c>
      <c r="AH192" s="385" t="str">
        <f t="shared" si="5"/>
        <v/>
      </c>
      <c r="AI192" s="207" t="str">
        <f t="shared" si="24"/>
        <v/>
      </c>
      <c r="AJ192" s="367" t="str">
        <f t="shared" si="7"/>
        <v/>
      </c>
      <c r="AK192" s="208" t="str">
        <f t="shared" si="25"/>
        <v/>
      </c>
      <c r="AL192" s="207" t="str">
        <f t="shared" si="22"/>
        <v/>
      </c>
      <c r="AM192" s="209" t="str">
        <f>IF(AN192="", "", IF(AN192="Closed", 
    IF(ISNUMBER(AF192), AF192-B192,
        IF(ISNUMBER(AC192), AC192-B192,
            IF(ISNUMBER(Z192), Z192-B192, "")
        )
    ), 
    TODAY()-B192))</f>
        <v/>
      </c>
      <c r="AN192" s="386" t="str">
        <f t="shared" si="11"/>
        <v/>
      </c>
      <c r="AO192" s="366" t="str">
        <f t="shared" si="12"/>
        <v/>
      </c>
      <c r="AP192" s="210" t="str">
        <f t="shared" si="13"/>
        <v/>
      </c>
      <c r="AQ192" s="196" t="str">
        <f t="shared" si="26"/>
        <v/>
      </c>
      <c r="AR192" s="168" t="str">
        <f>IFS(AND(B192&gt;=DATE(2025,1,1), B192&lt;=DATE(2025,1,31)), AQ192/DDashboard!$C$2, AND(B192&gt;=DATE(2025,2,1), B192&lt;=DATE(2025,2,28)), AQ192/DDashboard!$C$3, AND(B192&gt;=DATE(2025,3,1), B192&lt;=DATE(2025,3,31)), AQ192/DDashboard!$C$4, AND(B192&gt;=DATE(2025,4,1), B192&lt;=DATE(2025,4,30)), AQ192/DDashboard!$C$5,AND(B192&gt;=DATE(2025,5,1), B192&lt;=DATE(2025,5,31)), AQ192/DDashboard!$C$6,AND(B192&gt;=DATE(2025,6,1), B192&lt;=DATE(2025,6,30)), AQ192/DDashboard!$C$7,AND(B192&gt;=DATE(2025,7,1), B192&lt;=DATE(2025,7,31)), AQ192/DDashboard!$C$8,AND(B192&gt;=DATE(2025,8,1), B192&lt;=DATE(2025,8,31)), AQ192/DDashboard!$C$9,AND(B192&gt;=DATE(2025,9,1), B192&lt;=DATE(2025,9,30)), AQ192/DDashboard!$C$10,AND(B192&gt;=DATE(2025,10,1), B192&lt;=DATE(2025,10,31)), AQ192/DDashboard!$C$11,AND(B192&gt;=DATE(2025,11,1), B192&lt;=DATE(2025,11,30)), AQ192/DDashboard!$C$12, AND(B192&gt;=DATE(2025,12,1), B192&lt;=DATE(2025,12,31)), AQ192/DDashboard!$C$13, True, "")
</f>
        <v/>
      </c>
      <c r="AS192" s="200" t="str">
        <f t="array" ref="AS192">IF(ISBLANK(C192), "", SUM($AR$9:AR192)
)</f>
        <v/>
      </c>
      <c r="AT192" s="169" t="b">
        <v>0</v>
      </c>
      <c r="AU192" s="169"/>
      <c r="AV192" s="169"/>
      <c r="AW192" s="169"/>
      <c r="AX192" s="32"/>
    </row>
    <row r="193">
      <c r="A193" s="389">
        <v>192.0</v>
      </c>
      <c r="B193" s="138"/>
      <c r="C193" s="139"/>
      <c r="D193" s="403"/>
      <c r="E193" s="403"/>
      <c r="F193" s="142"/>
      <c r="G193" s="398" t="str">
        <f t="shared" si="1"/>
        <v/>
      </c>
      <c r="H193" s="399"/>
      <c r="I193" s="399"/>
      <c r="J193" s="141"/>
      <c r="K193" s="145" t="str">
        <f>IFERROR(__xludf.DUMMYFUNCTION("IF(ISBLANK(C193), """", GOOGLEFINANCE(""NSE:"" &amp; C193,""price""))"),"")</f>
        <v/>
      </c>
      <c r="L193" s="146"/>
      <c r="M193" s="147"/>
      <c r="N193" s="148"/>
      <c r="O193" s="149"/>
      <c r="P193" s="150"/>
      <c r="Q193" s="377"/>
      <c r="R193" s="152"/>
      <c r="S193" s="150"/>
      <c r="T193" s="377"/>
      <c r="U193" s="153" t="str">
        <f t="shared" si="23"/>
        <v/>
      </c>
      <c r="V193" s="154" t="str">
        <f>IFS(AND(B193&gt;=DATE(2025,1,1), B193&lt;=DATE(2025,1,31)), U193/DDashboard!$C$2, AND(B193&gt;=DATE(2025,2,1), B193&lt;=DATE(2025,2,28)), U193/DDashboard!$C$3, AND(B193&gt;=DATE(2025,3,1), B193&lt;=DATE(2025,3,31)), U193/DDashboard!$C$4, AND(B193&gt;=DATE(2025,4,1), B193&lt;=DATE(2025,4,30)), U193/DDashboard!$C$5,AND(B193&gt;=DATE(2025,5,1), B193&lt;=DATE(2025,5,31)), U193/DDashboard!$C$6,AND(B193&gt;=DATE(2025,6,1), B193&lt;=DATE(2025,6,30)), U193/DDashboard!$C$7,AND(B193&gt;=DATE(2025,7,1), B193&lt;=DATE(2025,7,31)), U193/DDashboard!$C$8,AND(B193&gt;=DATE(2025,8,1), B193&lt;=DATE(2025,8,31)), U193/DDashboard!$C$9,AND(B193&gt;=DATE(2025,9,1), B193&lt;=DATE(2025,9,30)), U193/DDashboard!$C$10,AND(B193&gt;=DATE(2025,10,1), B193&lt;=DATE(2025,10,31)), U193/DDashboard!$C$11,AND(B193&gt;=DATE(2025,11,1), B193&lt;=DATE(2025,11,30)), U193/DDashboard!$C$12, AND(B193&gt;=DATE(2025,12,1), B193&lt;=DATE(2025,12,31)), U193/DDashboard!$C$13, True, "")
</f>
        <v/>
      </c>
      <c r="W193" s="65" t="str">
        <f t="shared" si="3"/>
        <v/>
      </c>
      <c r="X193" s="155"/>
      <c r="Y193" s="156"/>
      <c r="Z193" s="392"/>
      <c r="AA193" s="390"/>
      <c r="AB193" s="359"/>
      <c r="AC193" s="360"/>
      <c r="AD193" s="358"/>
      <c r="AE193" s="359"/>
      <c r="AF193" s="360"/>
      <c r="AG193" s="160" t="str">
        <f t="shared" si="4"/>
        <v/>
      </c>
      <c r="AH193" s="393" t="str">
        <f t="shared" si="5"/>
        <v/>
      </c>
      <c r="AI193" s="161" t="str">
        <f t="shared" si="24"/>
        <v/>
      </c>
      <c r="AJ193" s="365" t="str">
        <f t="shared" si="7"/>
        <v/>
      </c>
      <c r="AK193" s="162" t="str">
        <f t="shared" si="25"/>
        <v/>
      </c>
      <c r="AL193" s="161" t="str">
        <f t="shared" si="22"/>
        <v/>
      </c>
      <c r="AM193" s="163" t="str">
        <f>IF(AN193="", "", IF(AN193="Closed", IF(ISNUMBER(AF193), AF193-B193,IF(ISNUMBER(AC193), AC193-B193,IF(ISNUMBER(Z193), Z193-B193, ""))), TODAY()-B193))
</f>
        <v/>
      </c>
      <c r="AN193" s="381" t="str">
        <f t="shared" si="11"/>
        <v/>
      </c>
      <c r="AO193" s="366" t="str">
        <f t="shared" si="12"/>
        <v/>
      </c>
      <c r="AP193" s="166" t="str">
        <f t="shared" si="13"/>
        <v/>
      </c>
      <c r="AQ193" s="167" t="str">
        <f t="shared" si="26"/>
        <v/>
      </c>
      <c r="AR193" s="168" t="str">
        <f>IFS(AND(B193&gt;=DATE(2025,1,1), B193&lt;=DATE(2025,1,31)), AQ193/DDashboard!$C$2, AND(B193&gt;=DATE(2025,2,1), B193&lt;=DATE(2025,2,28)), AQ193/DDashboard!$C$3, AND(B193&gt;=DATE(2025,3,1), B193&lt;=DATE(2025,3,31)), AQ193/DDashboard!$C$4, AND(B193&gt;=DATE(2025,4,1), B193&lt;=DATE(2025,4,30)), AQ193/DDashboard!$C$5,AND(B193&gt;=DATE(2025,5,1), B193&lt;=DATE(2025,5,31)), AQ193/DDashboard!$C$6,AND(B193&gt;=DATE(2025,6,1), B193&lt;=DATE(2025,6,30)), AQ193/DDashboard!$C$7,AND(B193&gt;=DATE(2025,7,1), B193&lt;=DATE(2025,7,31)), AQ193/DDashboard!$C$8,AND(B193&gt;=DATE(2025,8,1), B193&lt;=DATE(2025,8,31)), AQ193/DDashboard!$C$9,AND(B193&gt;=DATE(2025,9,1), B193&lt;=DATE(2025,9,30)), AQ193/DDashboard!$C$10,AND(B193&gt;=DATE(2025,10,1), B193&lt;=DATE(2025,10,31)), AQ193/DDashboard!$C$11,AND(B193&gt;=DATE(2025,11,1), B193&lt;=DATE(2025,11,30)), AQ193/DDashboard!$C$12, AND(B193&gt;=DATE(2025,12,1), B193&lt;=DATE(2025,12,31)), AQ193/DDashboard!$C$13, True, "")
</f>
        <v/>
      </c>
      <c r="AS193" s="200" t="str">
        <f t="array" ref="AS193">IF(ISBLANK(C193), "", SUM($AR$9:AR193)
)</f>
        <v/>
      </c>
      <c r="AT193" s="169" t="b">
        <v>0</v>
      </c>
      <c r="AU193" s="169"/>
      <c r="AV193" s="169"/>
      <c r="AW193" s="169"/>
      <c r="AX193" s="183"/>
    </row>
    <row r="194">
      <c r="A194" s="388">
        <v>193.0</v>
      </c>
      <c r="B194" s="184"/>
      <c r="C194" s="185"/>
      <c r="D194" s="400"/>
      <c r="E194" s="417"/>
      <c r="F194" s="188"/>
      <c r="G194" s="397" t="str">
        <f t="shared" si="1"/>
        <v/>
      </c>
      <c r="H194" s="402"/>
      <c r="I194" s="402"/>
      <c r="J194" s="187"/>
      <c r="K194" s="145" t="str">
        <f>IFERROR(__xludf.DUMMYFUNCTION("IF(ISBLANK(C194), """", GOOGLEFINANCE(""NSE:"" &amp; C194,""price""))"),"")</f>
        <v/>
      </c>
      <c r="L194" s="213"/>
      <c r="M194" s="193"/>
      <c r="N194" s="194"/>
      <c r="O194" s="195"/>
      <c r="P194" s="196"/>
      <c r="Q194" s="376"/>
      <c r="R194" s="198"/>
      <c r="S194" s="196"/>
      <c r="T194" s="376"/>
      <c r="U194" s="199" t="str">
        <f t="shared" si="23"/>
        <v/>
      </c>
      <c r="V194" s="200" t="str">
        <f>IFS(AND(B194&gt;=DATE(2025,1,1), B194&lt;=DATE(2025,1,31)), U194/DDashboard!$C$2, AND(B194&gt;=DATE(2025,2,1), B194&lt;=DATE(2025,2,28)), U194/DDashboard!$C$3, AND(B194&gt;=DATE(2025,3,1), B194&lt;=DATE(2025,3,31)), U194/DDashboard!$C$4, AND(B194&gt;=DATE(2025,4,1), B194&lt;=DATE(2025,4,30)), U194/DDashboard!$C$5,AND(B194&gt;=DATE(2025,5,1), B194&lt;=DATE(2025,5,31)), U194/DDashboard!$C$6,AND(B194&gt;=DATE(2025,6,1), B194&lt;=DATE(2025,6,30)), U194/DDashboard!$C$7,AND(B194&gt;=DATE(2025,7,1), B194&lt;=DATE(2025,7,31)), U194/DDashboard!$C$8,AND(B194&gt;=DATE(2025,8,1), B194&lt;=DATE(2025,8,31)), U194/DDashboard!$C$9,AND(B194&gt;=DATE(2025,9,1), B194&lt;=DATE(2025,9,30)), U194/DDashboard!$C$10,AND(B194&gt;=DATE(2025,10,1), B194&lt;=DATE(2025,10,31)), U194/DDashboard!$C$11,AND(B194&gt;=DATE(2025,11,1), B194&lt;=DATE(2025,11,30)), U194/DDashboard!$C$12, AND(B194&gt;=DATE(2025,12,1), B194&lt;=DATE(2025,12,31)), U194/DDashboard!$C$13, True, "")
</f>
        <v/>
      </c>
      <c r="W194" s="201" t="str">
        <f t="shared" si="3"/>
        <v/>
      </c>
      <c r="X194" s="202"/>
      <c r="Y194" s="203"/>
      <c r="Z194" s="391"/>
      <c r="AA194" s="198"/>
      <c r="AB194" s="222"/>
      <c r="AC194" s="223"/>
      <c r="AD194" s="195"/>
      <c r="AE194" s="222"/>
      <c r="AF194" s="223"/>
      <c r="AG194" s="206" t="str">
        <f t="shared" si="4"/>
        <v/>
      </c>
      <c r="AH194" s="385" t="str">
        <f t="shared" si="5"/>
        <v/>
      </c>
      <c r="AI194" s="207" t="str">
        <f t="shared" si="24"/>
        <v/>
      </c>
      <c r="AJ194" s="367" t="str">
        <f t="shared" si="7"/>
        <v/>
      </c>
      <c r="AK194" s="208" t="str">
        <f t="shared" si="25"/>
        <v/>
      </c>
      <c r="AL194" s="207" t="str">
        <f t="shared" si="22"/>
        <v/>
      </c>
      <c r="AM194" s="209" t="str">
        <f>IF(AN194="", "", IF(AN194="Closed", 
    IF(ISNUMBER(AF194), AF194-B194,
        IF(ISNUMBER(AC194), AC194-B194,
            IF(ISNUMBER(Z194), Z194-B194, "")
        )
    ), 
    TODAY()-B194))</f>
        <v/>
      </c>
      <c r="AN194" s="386" t="str">
        <f t="shared" si="11"/>
        <v/>
      </c>
      <c r="AO194" s="366" t="str">
        <f t="shared" si="12"/>
        <v/>
      </c>
      <c r="AP194" s="210" t="str">
        <f t="shared" si="13"/>
        <v/>
      </c>
      <c r="AQ194" s="196" t="str">
        <f t="shared" si="26"/>
        <v/>
      </c>
      <c r="AR194" s="168" t="str">
        <f>IFS(AND(B194&gt;=DATE(2025,1,1), B194&lt;=DATE(2025,1,31)), AQ194/DDashboard!$C$2, AND(B194&gt;=DATE(2025,2,1), B194&lt;=DATE(2025,2,28)), AQ194/DDashboard!$C$3, AND(B194&gt;=DATE(2025,3,1), B194&lt;=DATE(2025,3,31)), AQ194/DDashboard!$C$4, AND(B194&gt;=DATE(2025,4,1), B194&lt;=DATE(2025,4,30)), AQ194/DDashboard!$C$5,AND(B194&gt;=DATE(2025,5,1), B194&lt;=DATE(2025,5,31)), AQ194/DDashboard!$C$6,AND(B194&gt;=DATE(2025,6,1), B194&lt;=DATE(2025,6,30)), AQ194/DDashboard!$C$7,AND(B194&gt;=DATE(2025,7,1), B194&lt;=DATE(2025,7,31)), AQ194/DDashboard!$C$8,AND(B194&gt;=DATE(2025,8,1), B194&lt;=DATE(2025,8,31)), AQ194/DDashboard!$C$9,AND(B194&gt;=DATE(2025,9,1), B194&lt;=DATE(2025,9,30)), AQ194/DDashboard!$C$10,AND(B194&gt;=DATE(2025,10,1), B194&lt;=DATE(2025,10,31)), AQ194/DDashboard!$C$11,AND(B194&gt;=DATE(2025,11,1), B194&lt;=DATE(2025,11,30)), AQ194/DDashboard!$C$12, AND(B194&gt;=DATE(2025,12,1), B194&lt;=DATE(2025,12,31)), AQ194/DDashboard!$C$13, True, "")
</f>
        <v/>
      </c>
      <c r="AS194" s="200" t="str">
        <f t="array" ref="AS194">IF(ISBLANK(C194), "", SUM($AR$9:AR194)
)</f>
        <v/>
      </c>
      <c r="AT194" s="169" t="b">
        <v>0</v>
      </c>
      <c r="AU194" s="169"/>
      <c r="AV194" s="169"/>
      <c r="AW194" s="169"/>
      <c r="AX194" s="387"/>
    </row>
    <row r="195">
      <c r="A195" s="389">
        <v>194.0</v>
      </c>
      <c r="B195" s="138"/>
      <c r="C195" s="139"/>
      <c r="D195" s="401"/>
      <c r="E195" s="414"/>
      <c r="F195" s="142"/>
      <c r="G195" s="398" t="str">
        <f t="shared" si="1"/>
        <v/>
      </c>
      <c r="H195" s="399"/>
      <c r="I195" s="399"/>
      <c r="J195" s="141"/>
      <c r="K195" s="145" t="str">
        <f>IFERROR(__xludf.DUMMYFUNCTION("IF(ISBLANK(C195), """", GOOGLEFINANCE(""NSE:"" &amp; C195,""price""))"),"")</f>
        <v/>
      </c>
      <c r="L195" s="146"/>
      <c r="M195" s="147"/>
      <c r="N195" s="148"/>
      <c r="O195" s="149"/>
      <c r="P195" s="150"/>
      <c r="Q195" s="377"/>
      <c r="R195" s="152"/>
      <c r="S195" s="150"/>
      <c r="T195" s="377"/>
      <c r="U195" s="153" t="str">
        <f t="shared" si="23"/>
        <v/>
      </c>
      <c r="V195" s="154" t="str">
        <f>IFS(AND(B195&gt;=DATE(2025,1,1), B195&lt;=DATE(2025,1,31)), U195/DDashboard!$C$2, AND(B195&gt;=DATE(2025,2,1), B195&lt;=DATE(2025,2,28)), U195/DDashboard!$C$3, AND(B195&gt;=DATE(2025,3,1), B195&lt;=DATE(2025,3,31)), U195/DDashboard!$C$4, AND(B195&gt;=DATE(2025,4,1), B195&lt;=DATE(2025,4,30)), U195/DDashboard!$C$5,AND(B195&gt;=DATE(2025,5,1), B195&lt;=DATE(2025,5,31)), U195/DDashboard!$C$6,AND(B195&gt;=DATE(2025,6,1), B195&lt;=DATE(2025,6,30)), U195/DDashboard!$C$7,AND(B195&gt;=DATE(2025,7,1), B195&lt;=DATE(2025,7,31)), U195/DDashboard!$C$8,AND(B195&gt;=DATE(2025,8,1), B195&lt;=DATE(2025,8,31)), U195/DDashboard!$C$9,AND(B195&gt;=DATE(2025,9,1), B195&lt;=DATE(2025,9,30)), U195/DDashboard!$C$10,AND(B195&gt;=DATE(2025,10,1), B195&lt;=DATE(2025,10,31)), U195/DDashboard!$C$11,AND(B195&gt;=DATE(2025,11,1), B195&lt;=DATE(2025,11,30)), U195/DDashboard!$C$12, AND(B195&gt;=DATE(2025,12,1), B195&lt;=DATE(2025,12,31)), U195/DDashboard!$C$13, True, "")
</f>
        <v/>
      </c>
      <c r="W195" s="65" t="str">
        <f t="shared" si="3"/>
        <v/>
      </c>
      <c r="X195" s="155"/>
      <c r="Y195" s="156"/>
      <c r="Z195" s="392"/>
      <c r="AA195" s="390"/>
      <c r="AB195" s="359"/>
      <c r="AC195" s="360"/>
      <c r="AD195" s="358"/>
      <c r="AE195" s="359"/>
      <c r="AF195" s="360"/>
      <c r="AG195" s="160" t="str">
        <f t="shared" si="4"/>
        <v/>
      </c>
      <c r="AH195" s="393" t="str">
        <f t="shared" si="5"/>
        <v/>
      </c>
      <c r="AI195" s="161" t="str">
        <f t="shared" si="24"/>
        <v/>
      </c>
      <c r="AJ195" s="365" t="str">
        <f t="shared" si="7"/>
        <v/>
      </c>
      <c r="AK195" s="162" t="str">
        <f t="shared" si="25"/>
        <v/>
      </c>
      <c r="AL195" s="161" t="str">
        <f t="shared" si="22"/>
        <v/>
      </c>
      <c r="AM195" s="163" t="str">
        <f>IF(AN195="", "", IF(AN195="Closed", IF(ISNUMBER(AF195), AF195-B195,IF(ISNUMBER(AC195), AC195-B195,IF(ISNUMBER(Z195), Z195-B195, ""))), TODAY()-B195))
</f>
        <v/>
      </c>
      <c r="AN195" s="381" t="str">
        <f t="shared" si="11"/>
        <v/>
      </c>
      <c r="AO195" s="366" t="str">
        <f t="shared" si="12"/>
        <v/>
      </c>
      <c r="AP195" s="166" t="str">
        <f t="shared" si="13"/>
        <v/>
      </c>
      <c r="AQ195" s="167" t="str">
        <f t="shared" si="26"/>
        <v/>
      </c>
      <c r="AR195" s="168" t="str">
        <f>IFS(AND(B195&gt;=DATE(2025,1,1), B195&lt;=DATE(2025,1,31)), AQ195/DDashboard!$C$2, AND(B195&gt;=DATE(2025,2,1), B195&lt;=DATE(2025,2,28)), AQ195/DDashboard!$C$3, AND(B195&gt;=DATE(2025,3,1), B195&lt;=DATE(2025,3,31)), AQ195/DDashboard!$C$4, AND(B195&gt;=DATE(2025,4,1), B195&lt;=DATE(2025,4,30)), AQ195/DDashboard!$C$5,AND(B195&gt;=DATE(2025,5,1), B195&lt;=DATE(2025,5,31)), AQ195/DDashboard!$C$6,AND(B195&gt;=DATE(2025,6,1), B195&lt;=DATE(2025,6,30)), AQ195/DDashboard!$C$7,AND(B195&gt;=DATE(2025,7,1), B195&lt;=DATE(2025,7,31)), AQ195/DDashboard!$C$8,AND(B195&gt;=DATE(2025,8,1), B195&lt;=DATE(2025,8,31)), AQ195/DDashboard!$C$9,AND(B195&gt;=DATE(2025,9,1), B195&lt;=DATE(2025,9,30)), AQ195/DDashboard!$C$10,AND(B195&gt;=DATE(2025,10,1), B195&lt;=DATE(2025,10,31)), AQ195/DDashboard!$C$11,AND(B195&gt;=DATE(2025,11,1), B195&lt;=DATE(2025,11,30)), AQ195/DDashboard!$C$12, AND(B195&gt;=DATE(2025,12,1), B195&lt;=DATE(2025,12,31)), AQ195/DDashboard!$C$13, True, "")
</f>
        <v/>
      </c>
      <c r="AS195" s="200" t="str">
        <f t="array" ref="AS195">IF(ISBLANK(C195), "", SUM($AR$9:AR195)
)</f>
        <v/>
      </c>
      <c r="AT195" s="169" t="b">
        <v>0</v>
      </c>
      <c r="AU195" s="169"/>
      <c r="AV195" s="169"/>
      <c r="AW195" s="169"/>
      <c r="AX195" s="383"/>
    </row>
    <row r="196">
      <c r="A196" s="388">
        <v>195.0</v>
      </c>
      <c r="B196" s="184"/>
      <c r="C196" s="185"/>
      <c r="D196" s="404"/>
      <c r="E196" s="404"/>
      <c r="F196" s="188"/>
      <c r="G196" s="397" t="str">
        <f t="shared" si="1"/>
        <v/>
      </c>
      <c r="H196" s="402"/>
      <c r="I196" s="402"/>
      <c r="J196" s="187"/>
      <c r="K196" s="145" t="str">
        <f>IFERROR(__xludf.DUMMYFUNCTION("IF(ISBLANK(C196), """", GOOGLEFINANCE(""NSE:"" &amp; C196,""price""))"),"")</f>
        <v/>
      </c>
      <c r="L196" s="213"/>
      <c r="M196" s="193"/>
      <c r="N196" s="194"/>
      <c r="O196" s="195"/>
      <c r="P196" s="196"/>
      <c r="Q196" s="376"/>
      <c r="R196" s="198"/>
      <c r="S196" s="196"/>
      <c r="T196" s="376"/>
      <c r="U196" s="199" t="str">
        <f t="shared" si="23"/>
        <v/>
      </c>
      <c r="V196" s="200" t="str">
        <f>IFS(AND(B196&gt;=DATE(2025,1,1), B196&lt;=DATE(2025,1,31)), U196/DDashboard!$C$2, AND(B196&gt;=DATE(2025,2,1), B196&lt;=DATE(2025,2,28)), U196/DDashboard!$C$3, AND(B196&gt;=DATE(2025,3,1), B196&lt;=DATE(2025,3,31)), U196/DDashboard!$C$4, AND(B196&gt;=DATE(2025,4,1), B196&lt;=DATE(2025,4,30)), U196/DDashboard!$C$5,AND(B196&gt;=DATE(2025,5,1), B196&lt;=DATE(2025,5,31)), U196/DDashboard!$C$6,AND(B196&gt;=DATE(2025,6,1), B196&lt;=DATE(2025,6,30)), U196/DDashboard!$C$7,AND(B196&gt;=DATE(2025,7,1), B196&lt;=DATE(2025,7,31)), U196/DDashboard!$C$8,AND(B196&gt;=DATE(2025,8,1), B196&lt;=DATE(2025,8,31)), U196/DDashboard!$C$9,AND(B196&gt;=DATE(2025,9,1), B196&lt;=DATE(2025,9,30)), U196/DDashboard!$C$10,AND(B196&gt;=DATE(2025,10,1), B196&lt;=DATE(2025,10,31)), U196/DDashboard!$C$11,AND(B196&gt;=DATE(2025,11,1), B196&lt;=DATE(2025,11,30)), U196/DDashboard!$C$12, AND(B196&gt;=DATE(2025,12,1), B196&lt;=DATE(2025,12,31)), U196/DDashboard!$C$13, True, "")
</f>
        <v/>
      </c>
      <c r="W196" s="201" t="str">
        <f t="shared" si="3"/>
        <v/>
      </c>
      <c r="X196" s="202"/>
      <c r="Y196" s="203"/>
      <c r="Z196" s="391"/>
      <c r="AA196" s="198"/>
      <c r="AB196" s="222"/>
      <c r="AC196" s="223"/>
      <c r="AD196" s="195"/>
      <c r="AE196" s="222"/>
      <c r="AF196" s="223"/>
      <c r="AG196" s="206" t="str">
        <f t="shared" si="4"/>
        <v/>
      </c>
      <c r="AH196" s="385" t="str">
        <f t="shared" si="5"/>
        <v/>
      </c>
      <c r="AI196" s="207" t="str">
        <f t="shared" si="24"/>
        <v/>
      </c>
      <c r="AJ196" s="367" t="str">
        <f t="shared" si="7"/>
        <v/>
      </c>
      <c r="AK196" s="208" t="str">
        <f t="shared" si="25"/>
        <v/>
      </c>
      <c r="AL196" s="207" t="str">
        <f t="shared" si="22"/>
        <v/>
      </c>
      <c r="AM196" s="209" t="str">
        <f>IF(AN196="", "", IF(AN196="Closed", 
    IF(ISNUMBER(AF196), AF196-B196,
        IF(ISNUMBER(AC196), AC196-B196,
            IF(ISNUMBER(Z196), Z196-B196, "")
        )
    ), 
    TODAY()-B196))</f>
        <v/>
      </c>
      <c r="AN196" s="386" t="str">
        <f t="shared" si="11"/>
        <v/>
      </c>
      <c r="AO196" s="366" t="str">
        <f t="shared" si="12"/>
        <v/>
      </c>
      <c r="AP196" s="210" t="str">
        <f t="shared" si="13"/>
        <v/>
      </c>
      <c r="AQ196" s="196" t="str">
        <f t="shared" si="26"/>
        <v/>
      </c>
      <c r="AR196" s="168" t="str">
        <f>IFS(AND(B196&gt;=DATE(2025,1,1), B196&lt;=DATE(2025,1,31)), AQ196/DDashboard!$C$2, AND(B196&gt;=DATE(2025,2,1), B196&lt;=DATE(2025,2,28)), AQ196/DDashboard!$C$3, AND(B196&gt;=DATE(2025,3,1), B196&lt;=DATE(2025,3,31)), AQ196/DDashboard!$C$4, AND(B196&gt;=DATE(2025,4,1), B196&lt;=DATE(2025,4,30)), AQ196/DDashboard!$C$5,AND(B196&gt;=DATE(2025,5,1), B196&lt;=DATE(2025,5,31)), AQ196/DDashboard!$C$6,AND(B196&gt;=DATE(2025,6,1), B196&lt;=DATE(2025,6,30)), AQ196/DDashboard!$C$7,AND(B196&gt;=DATE(2025,7,1), B196&lt;=DATE(2025,7,31)), AQ196/DDashboard!$C$8,AND(B196&gt;=DATE(2025,8,1), B196&lt;=DATE(2025,8,31)), AQ196/DDashboard!$C$9,AND(B196&gt;=DATE(2025,9,1), B196&lt;=DATE(2025,9,30)), AQ196/DDashboard!$C$10,AND(B196&gt;=DATE(2025,10,1), B196&lt;=DATE(2025,10,31)), AQ196/DDashboard!$C$11,AND(B196&gt;=DATE(2025,11,1), B196&lt;=DATE(2025,11,30)), AQ196/DDashboard!$C$12, AND(B196&gt;=DATE(2025,12,1), B196&lt;=DATE(2025,12,31)), AQ196/DDashboard!$C$13, True, "")
</f>
        <v/>
      </c>
      <c r="AS196" s="200" t="str">
        <f t="array" ref="AS196">IF(ISBLANK(C196), "", SUM($AR$9:AR196)
)</f>
        <v/>
      </c>
      <c r="AT196" s="169" t="b">
        <v>0</v>
      </c>
      <c r="AU196" s="169"/>
      <c r="AV196" s="169"/>
      <c r="AW196" s="169"/>
      <c r="AX196" s="387"/>
    </row>
    <row r="197">
      <c r="A197" s="418">
        <v>196.0</v>
      </c>
      <c r="B197" s="138"/>
      <c r="C197" s="139"/>
      <c r="D197" s="401"/>
      <c r="E197" s="414"/>
      <c r="F197" s="142"/>
      <c r="G197" s="398" t="str">
        <f t="shared" si="1"/>
        <v/>
      </c>
      <c r="H197" s="399"/>
      <c r="I197" s="399"/>
      <c r="J197" s="141"/>
      <c r="K197" s="145" t="str">
        <f>IFERROR(__xludf.DUMMYFUNCTION("IF(ISBLANK(C197), """", GOOGLEFINANCE(""NSE:"" &amp; C197,""price""))"),"")</f>
        <v/>
      </c>
      <c r="L197" s="146"/>
      <c r="M197" s="147"/>
      <c r="N197" s="148"/>
      <c r="O197" s="149"/>
      <c r="P197" s="150"/>
      <c r="Q197" s="377"/>
      <c r="R197" s="152"/>
      <c r="S197" s="150"/>
      <c r="T197" s="377"/>
      <c r="U197" s="153" t="str">
        <f t="shared" si="23"/>
        <v/>
      </c>
      <c r="V197" s="154" t="str">
        <f>IFS(AND(B197&gt;=DATE(2025,1,1), B197&lt;=DATE(2025,1,31)), U197/DDashboard!$C$2, AND(B197&gt;=DATE(2025,2,1), B197&lt;=DATE(2025,2,28)), U197/DDashboard!$C$3, AND(B197&gt;=DATE(2025,3,1), B197&lt;=DATE(2025,3,31)), U197/DDashboard!$C$4, AND(B197&gt;=DATE(2025,4,1), B197&lt;=DATE(2025,4,30)), U197/DDashboard!$C$5,AND(B197&gt;=DATE(2025,5,1), B197&lt;=DATE(2025,5,31)), U197/DDashboard!$C$6,AND(B197&gt;=DATE(2025,6,1), B197&lt;=DATE(2025,6,30)), U197/DDashboard!$C$7,AND(B197&gt;=DATE(2025,7,1), B197&lt;=DATE(2025,7,31)), U197/DDashboard!$C$8,AND(B197&gt;=DATE(2025,8,1), B197&lt;=DATE(2025,8,31)), U197/DDashboard!$C$9,AND(B197&gt;=DATE(2025,9,1), B197&lt;=DATE(2025,9,30)), U197/DDashboard!$C$10,AND(B197&gt;=DATE(2025,10,1), B197&lt;=DATE(2025,10,31)), U197/DDashboard!$C$11,AND(B197&gt;=DATE(2025,11,1), B197&lt;=DATE(2025,11,30)), U197/DDashboard!$C$12, AND(B197&gt;=DATE(2025,12,1), B197&lt;=DATE(2025,12,31)), U197/DDashboard!$C$13, True, "")
</f>
        <v/>
      </c>
      <c r="W197" s="65" t="str">
        <f t="shared" si="3"/>
        <v/>
      </c>
      <c r="X197" s="155"/>
      <c r="Y197" s="156"/>
      <c r="Z197" s="392"/>
      <c r="AA197" s="390"/>
      <c r="AB197" s="359"/>
      <c r="AC197" s="360"/>
      <c r="AD197" s="358"/>
      <c r="AE197" s="359"/>
      <c r="AF197" s="360"/>
      <c r="AG197" s="160" t="str">
        <f t="shared" si="4"/>
        <v/>
      </c>
      <c r="AH197" s="393" t="str">
        <f t="shared" si="5"/>
        <v/>
      </c>
      <c r="AI197" s="161" t="str">
        <f t="shared" si="24"/>
        <v/>
      </c>
      <c r="AJ197" s="365" t="str">
        <f t="shared" si="7"/>
        <v/>
      </c>
      <c r="AK197" s="162" t="str">
        <f t="shared" si="25"/>
        <v/>
      </c>
      <c r="AL197" s="161" t="str">
        <f t="shared" si="22"/>
        <v/>
      </c>
      <c r="AM197" s="163" t="str">
        <f>IF(AN197="", "", IF(AN197="Closed", IF(ISNUMBER(AF197), AF197-B197,IF(ISNUMBER(AC197), AC197-B197,IF(ISNUMBER(Z197), Z197-B197, ""))), TODAY()-B197))
</f>
        <v/>
      </c>
      <c r="AN197" s="381" t="str">
        <f t="shared" si="11"/>
        <v/>
      </c>
      <c r="AO197" s="366" t="str">
        <f t="shared" si="12"/>
        <v/>
      </c>
      <c r="AP197" s="166" t="str">
        <f t="shared" si="13"/>
        <v/>
      </c>
      <c r="AQ197" s="167" t="str">
        <f t="shared" si="26"/>
        <v/>
      </c>
      <c r="AR197" s="168" t="str">
        <f>IFS(AND(B197&gt;=DATE(2025,1,1), B197&lt;=DATE(2025,1,31)), AQ197/DDashboard!$C$2, AND(B197&gt;=DATE(2025,2,1), B197&lt;=DATE(2025,2,28)), AQ197/DDashboard!$C$3, AND(B197&gt;=DATE(2025,3,1), B197&lt;=DATE(2025,3,31)), AQ197/DDashboard!$C$4, AND(B197&gt;=DATE(2025,4,1), B197&lt;=DATE(2025,4,30)), AQ197/DDashboard!$C$5,AND(B197&gt;=DATE(2025,5,1), B197&lt;=DATE(2025,5,31)), AQ197/DDashboard!$C$6,AND(B197&gt;=DATE(2025,6,1), B197&lt;=DATE(2025,6,30)), AQ197/DDashboard!$C$7,AND(B197&gt;=DATE(2025,7,1), B197&lt;=DATE(2025,7,31)), AQ197/DDashboard!$C$8,AND(B197&gt;=DATE(2025,8,1), B197&lt;=DATE(2025,8,31)), AQ197/DDashboard!$C$9,AND(B197&gt;=DATE(2025,9,1), B197&lt;=DATE(2025,9,30)), AQ197/DDashboard!$C$10,AND(B197&gt;=DATE(2025,10,1), B197&lt;=DATE(2025,10,31)), AQ197/DDashboard!$C$11,AND(B197&gt;=DATE(2025,11,1), B197&lt;=DATE(2025,11,30)), AQ197/DDashboard!$C$12, AND(B197&gt;=DATE(2025,12,1), B197&lt;=DATE(2025,12,31)), AQ197/DDashboard!$C$13, True, "")
</f>
        <v/>
      </c>
      <c r="AS197" s="200" t="str">
        <f t="array" ref="AS197">IF(ISBLANK(C197), "", SUM($AR$9:AR197)
)</f>
        <v/>
      </c>
      <c r="AT197" s="169" t="b">
        <v>0</v>
      </c>
      <c r="AU197" s="169"/>
      <c r="AV197" s="169"/>
      <c r="AW197" s="169"/>
      <c r="AX197" s="383"/>
    </row>
    <row r="198">
      <c r="A198" s="419">
        <v>197.0</v>
      </c>
      <c r="B198" s="184"/>
      <c r="C198" s="185"/>
      <c r="D198" s="400"/>
      <c r="E198" s="417"/>
      <c r="F198" s="188"/>
      <c r="G198" s="397" t="str">
        <f t="shared" si="1"/>
        <v/>
      </c>
      <c r="H198" s="402"/>
      <c r="I198" s="402"/>
      <c r="J198" s="187"/>
      <c r="K198" s="145" t="str">
        <f>IFERROR(__xludf.DUMMYFUNCTION("IF(ISBLANK(C198), """", GOOGLEFINANCE(""NSE:"" &amp; C198,""price""))"),"")</f>
        <v/>
      </c>
      <c r="L198" s="213"/>
      <c r="M198" s="193"/>
      <c r="N198" s="194"/>
      <c r="O198" s="195"/>
      <c r="P198" s="196"/>
      <c r="Q198" s="376"/>
      <c r="R198" s="198"/>
      <c r="S198" s="196"/>
      <c r="T198" s="376"/>
      <c r="U198" s="199" t="str">
        <f t="shared" si="23"/>
        <v/>
      </c>
      <c r="V198" s="200" t="str">
        <f>IFS(AND(B198&gt;=DATE(2025,1,1), B198&lt;=DATE(2025,1,31)), U198/DDashboard!$C$2, AND(B198&gt;=DATE(2025,2,1), B198&lt;=DATE(2025,2,28)), U198/DDashboard!$C$3, AND(B198&gt;=DATE(2025,3,1), B198&lt;=DATE(2025,3,31)), U198/DDashboard!$C$4, AND(B198&gt;=DATE(2025,4,1), B198&lt;=DATE(2025,4,30)), U198/DDashboard!$C$5,AND(B198&gt;=DATE(2025,5,1), B198&lt;=DATE(2025,5,31)), U198/DDashboard!$C$6,AND(B198&gt;=DATE(2025,6,1), B198&lt;=DATE(2025,6,30)), U198/DDashboard!$C$7,AND(B198&gt;=DATE(2025,7,1), B198&lt;=DATE(2025,7,31)), U198/DDashboard!$C$8,AND(B198&gt;=DATE(2025,8,1), B198&lt;=DATE(2025,8,31)), U198/DDashboard!$C$9,AND(B198&gt;=DATE(2025,9,1), B198&lt;=DATE(2025,9,30)), U198/DDashboard!$C$10,AND(B198&gt;=DATE(2025,10,1), B198&lt;=DATE(2025,10,31)), U198/DDashboard!$C$11,AND(B198&gt;=DATE(2025,11,1), B198&lt;=DATE(2025,11,30)), U198/DDashboard!$C$12, AND(B198&gt;=DATE(2025,12,1), B198&lt;=DATE(2025,12,31)), U198/DDashboard!$C$13, True, "")
</f>
        <v/>
      </c>
      <c r="W198" s="201" t="str">
        <f t="shared" si="3"/>
        <v/>
      </c>
      <c r="X198" s="202"/>
      <c r="Y198" s="203"/>
      <c r="Z198" s="391"/>
      <c r="AA198" s="198"/>
      <c r="AB198" s="222"/>
      <c r="AC198" s="223"/>
      <c r="AD198" s="195"/>
      <c r="AE198" s="222"/>
      <c r="AF198" s="223"/>
      <c r="AG198" s="206" t="str">
        <f t="shared" si="4"/>
        <v/>
      </c>
      <c r="AH198" s="385" t="str">
        <f t="shared" si="5"/>
        <v/>
      </c>
      <c r="AI198" s="207" t="str">
        <f t="shared" si="24"/>
        <v/>
      </c>
      <c r="AJ198" s="367" t="str">
        <f t="shared" si="7"/>
        <v/>
      </c>
      <c r="AK198" s="208" t="str">
        <f t="shared" si="25"/>
        <v/>
      </c>
      <c r="AL198" s="207" t="str">
        <f t="shared" si="22"/>
        <v/>
      </c>
      <c r="AM198" s="209" t="str">
        <f>IF(AN198="", "", IF(AN198="Closed", 
    IF(ISNUMBER(AF198), AF198-B198,
        IF(ISNUMBER(AC198), AC198-B198,
            IF(ISNUMBER(Z198), Z198-B198, "")
        )
    ), 
    TODAY()-B198))</f>
        <v/>
      </c>
      <c r="AN198" s="386" t="str">
        <f t="shared" si="11"/>
        <v/>
      </c>
      <c r="AO198" s="366" t="str">
        <f t="shared" si="12"/>
        <v/>
      </c>
      <c r="AP198" s="210" t="str">
        <f t="shared" si="13"/>
        <v/>
      </c>
      <c r="AQ198" s="196" t="str">
        <f t="shared" si="26"/>
        <v/>
      </c>
      <c r="AR198" s="168" t="str">
        <f>IFS(AND(B198&gt;=DATE(2025,1,1), B198&lt;=DATE(2025,1,31)), AQ198/DDashboard!$C$2, AND(B198&gt;=DATE(2025,2,1), B198&lt;=DATE(2025,2,28)), AQ198/DDashboard!$C$3, AND(B198&gt;=DATE(2025,3,1), B198&lt;=DATE(2025,3,31)), AQ198/DDashboard!$C$4, AND(B198&gt;=DATE(2025,4,1), B198&lt;=DATE(2025,4,30)), AQ198/DDashboard!$C$5,AND(B198&gt;=DATE(2025,5,1), B198&lt;=DATE(2025,5,31)), AQ198/DDashboard!$C$6,AND(B198&gt;=DATE(2025,6,1), B198&lt;=DATE(2025,6,30)), AQ198/DDashboard!$C$7,AND(B198&gt;=DATE(2025,7,1), B198&lt;=DATE(2025,7,31)), AQ198/DDashboard!$C$8,AND(B198&gt;=DATE(2025,8,1), B198&lt;=DATE(2025,8,31)), AQ198/DDashboard!$C$9,AND(B198&gt;=DATE(2025,9,1), B198&lt;=DATE(2025,9,30)), AQ198/DDashboard!$C$10,AND(B198&gt;=DATE(2025,10,1), B198&lt;=DATE(2025,10,31)), AQ198/DDashboard!$C$11,AND(B198&gt;=DATE(2025,11,1), B198&lt;=DATE(2025,11,30)), AQ198/DDashboard!$C$12, AND(B198&gt;=DATE(2025,12,1), B198&lt;=DATE(2025,12,31)), AQ198/DDashboard!$C$13, True, "")
</f>
        <v/>
      </c>
      <c r="AS198" s="200" t="str">
        <f t="array" ref="AS198">IF(ISBLANK(C198), "", SUM($AR$9:AR198)
)</f>
        <v/>
      </c>
      <c r="AT198" s="169" t="b">
        <v>0</v>
      </c>
      <c r="AU198" s="169"/>
      <c r="AV198" s="169"/>
      <c r="AW198" s="169"/>
      <c r="AX198" s="387"/>
    </row>
    <row r="199">
      <c r="A199" s="418">
        <v>198.0</v>
      </c>
      <c r="B199" s="138"/>
      <c r="C199" s="139"/>
      <c r="D199" s="401"/>
      <c r="E199" s="420"/>
      <c r="F199" s="142"/>
      <c r="G199" s="398" t="str">
        <f t="shared" si="1"/>
        <v/>
      </c>
      <c r="H199" s="399"/>
      <c r="I199" s="399"/>
      <c r="J199" s="141"/>
      <c r="K199" s="145" t="str">
        <f>IFERROR(__xludf.DUMMYFUNCTION("IF(ISBLANK(C199), """", GOOGLEFINANCE(""NSE:"" &amp; C199,""price""))"),"")</f>
        <v/>
      </c>
      <c r="L199" s="146"/>
      <c r="M199" s="147"/>
      <c r="N199" s="148"/>
      <c r="O199" s="149"/>
      <c r="P199" s="150"/>
      <c r="Q199" s="377"/>
      <c r="R199" s="152"/>
      <c r="S199" s="150"/>
      <c r="T199" s="377"/>
      <c r="U199" s="153" t="str">
        <f t="shared" si="23"/>
        <v/>
      </c>
      <c r="V199" s="154" t="str">
        <f>IFS(AND(B199&gt;=DATE(2025,1,1), B199&lt;=DATE(2025,1,31)), U199/DDashboard!$C$2, AND(B199&gt;=DATE(2025,2,1), B199&lt;=DATE(2025,2,28)), U199/DDashboard!$C$3, AND(B199&gt;=DATE(2025,3,1), B199&lt;=DATE(2025,3,31)), U199/DDashboard!$C$4, AND(B199&gt;=DATE(2025,4,1), B199&lt;=DATE(2025,4,30)), U199/DDashboard!$C$5,AND(B199&gt;=DATE(2025,5,1), B199&lt;=DATE(2025,5,31)), U199/DDashboard!$C$6,AND(B199&gt;=DATE(2025,6,1), B199&lt;=DATE(2025,6,30)), U199/DDashboard!$C$7,AND(B199&gt;=DATE(2025,7,1), B199&lt;=DATE(2025,7,31)), U199/DDashboard!$C$8,AND(B199&gt;=DATE(2025,8,1), B199&lt;=DATE(2025,8,31)), U199/DDashboard!$C$9,AND(B199&gt;=DATE(2025,9,1), B199&lt;=DATE(2025,9,30)), U199/DDashboard!$C$10,AND(B199&gt;=DATE(2025,10,1), B199&lt;=DATE(2025,10,31)), U199/DDashboard!$C$11,AND(B199&gt;=DATE(2025,11,1), B199&lt;=DATE(2025,11,30)), U199/DDashboard!$C$12, AND(B199&gt;=DATE(2025,12,1), B199&lt;=DATE(2025,12,31)), U199/DDashboard!$C$13, True, "")
</f>
        <v/>
      </c>
      <c r="W199" s="65" t="str">
        <f t="shared" si="3"/>
        <v/>
      </c>
      <c r="X199" s="155"/>
      <c r="Y199" s="156"/>
      <c r="Z199" s="392"/>
      <c r="AA199" s="390"/>
      <c r="AB199" s="359"/>
      <c r="AC199" s="360"/>
      <c r="AD199" s="358"/>
      <c r="AE199" s="359"/>
      <c r="AF199" s="360"/>
      <c r="AG199" s="160" t="str">
        <f t="shared" si="4"/>
        <v/>
      </c>
      <c r="AH199" s="393" t="str">
        <f t="shared" si="5"/>
        <v/>
      </c>
      <c r="AI199" s="161" t="str">
        <f t="shared" si="24"/>
        <v/>
      </c>
      <c r="AJ199" s="365" t="str">
        <f t="shared" si="7"/>
        <v/>
      </c>
      <c r="AK199" s="162" t="str">
        <f t="shared" si="25"/>
        <v/>
      </c>
      <c r="AL199" s="161" t="str">
        <f t="shared" si="22"/>
        <v/>
      </c>
      <c r="AM199" s="163" t="str">
        <f>IF(AN199="", "", IF(AN199="Closed", IF(ISNUMBER(AF199), AF199-B199,IF(ISNUMBER(AC199), AC199-B199,IF(ISNUMBER(Z199), Z199-B199, ""))), TODAY()-B199))
</f>
        <v/>
      </c>
      <c r="AN199" s="381" t="str">
        <f t="shared" si="11"/>
        <v/>
      </c>
      <c r="AO199" s="366" t="str">
        <f t="shared" si="12"/>
        <v/>
      </c>
      <c r="AP199" s="166" t="str">
        <f t="shared" si="13"/>
        <v/>
      </c>
      <c r="AQ199" s="167" t="str">
        <f t="shared" si="26"/>
        <v/>
      </c>
      <c r="AR199" s="168" t="str">
        <f>IFS(AND(B199&gt;=DATE(2025,1,1), B199&lt;=DATE(2025,1,31)), AQ199/DDashboard!$C$2, AND(B199&gt;=DATE(2025,2,1), B199&lt;=DATE(2025,2,28)), AQ199/DDashboard!$C$3, AND(B199&gt;=DATE(2025,3,1), B199&lt;=DATE(2025,3,31)), AQ199/DDashboard!$C$4, AND(B199&gt;=DATE(2025,4,1), B199&lt;=DATE(2025,4,30)), AQ199/DDashboard!$C$5,AND(B199&gt;=DATE(2025,5,1), B199&lt;=DATE(2025,5,31)), AQ199/DDashboard!$C$6,AND(B199&gt;=DATE(2025,6,1), B199&lt;=DATE(2025,6,30)), AQ199/DDashboard!$C$7,AND(B199&gt;=DATE(2025,7,1), B199&lt;=DATE(2025,7,31)), AQ199/DDashboard!$C$8,AND(B199&gt;=DATE(2025,8,1), B199&lt;=DATE(2025,8,31)), AQ199/DDashboard!$C$9,AND(B199&gt;=DATE(2025,9,1), B199&lt;=DATE(2025,9,30)), AQ199/DDashboard!$C$10,AND(B199&gt;=DATE(2025,10,1), B199&lt;=DATE(2025,10,31)), AQ199/DDashboard!$C$11,AND(B199&gt;=DATE(2025,11,1), B199&lt;=DATE(2025,11,30)), AQ199/DDashboard!$C$12, AND(B199&gt;=DATE(2025,12,1), B199&lt;=DATE(2025,12,31)), AQ199/DDashboard!$C$13, True, "")
</f>
        <v/>
      </c>
      <c r="AS199" s="200" t="str">
        <f t="array" ref="AS199">IF(ISBLANK(C199), "", SUM($AR$9:AR199)
)</f>
        <v/>
      </c>
      <c r="AT199" s="169" t="b">
        <v>0</v>
      </c>
      <c r="AU199" s="169"/>
      <c r="AV199" s="169"/>
      <c r="AW199" s="169"/>
      <c r="AX199" s="183"/>
    </row>
    <row r="200">
      <c r="A200" s="419">
        <v>199.0</v>
      </c>
      <c r="B200" s="184"/>
      <c r="C200" s="185"/>
      <c r="D200" s="400"/>
      <c r="E200" s="417"/>
      <c r="F200" s="188"/>
      <c r="G200" s="397" t="str">
        <f t="shared" si="1"/>
        <v/>
      </c>
      <c r="H200" s="402"/>
      <c r="I200" s="402"/>
      <c r="J200" s="187"/>
      <c r="K200" s="145" t="str">
        <f>IFERROR(__xludf.DUMMYFUNCTION("IF(ISBLANK(C200), """", GOOGLEFINANCE(""NSE:"" &amp; C200,""price""))"),"")</f>
        <v/>
      </c>
      <c r="L200" s="213"/>
      <c r="M200" s="193"/>
      <c r="N200" s="194"/>
      <c r="O200" s="195"/>
      <c r="P200" s="196"/>
      <c r="Q200" s="376"/>
      <c r="R200" s="198"/>
      <c r="S200" s="196"/>
      <c r="T200" s="376"/>
      <c r="U200" s="199" t="str">
        <f t="shared" si="23"/>
        <v/>
      </c>
      <c r="V200" s="200" t="str">
        <f>IFS(AND(B200&gt;=DATE(2025,1,1), B200&lt;=DATE(2025,1,31)), U200/DDashboard!$C$2, AND(B200&gt;=DATE(2025,2,1), B200&lt;=DATE(2025,2,28)), U200/DDashboard!$C$3, AND(B200&gt;=DATE(2025,3,1), B200&lt;=DATE(2025,3,31)), U200/DDashboard!$C$4, AND(B200&gt;=DATE(2025,4,1), B200&lt;=DATE(2025,4,30)), U200/DDashboard!$C$5,AND(B200&gt;=DATE(2025,5,1), B200&lt;=DATE(2025,5,31)), U200/DDashboard!$C$6,AND(B200&gt;=DATE(2025,6,1), B200&lt;=DATE(2025,6,30)), U200/DDashboard!$C$7,AND(B200&gt;=DATE(2025,7,1), B200&lt;=DATE(2025,7,31)), U200/DDashboard!$C$8,AND(B200&gt;=DATE(2025,8,1), B200&lt;=DATE(2025,8,31)), U200/DDashboard!$C$9,AND(B200&gt;=DATE(2025,9,1), B200&lt;=DATE(2025,9,30)), U200/DDashboard!$C$10,AND(B200&gt;=DATE(2025,10,1), B200&lt;=DATE(2025,10,31)), U200/DDashboard!$C$11,AND(B200&gt;=DATE(2025,11,1), B200&lt;=DATE(2025,11,30)), U200/DDashboard!$C$12, AND(B200&gt;=DATE(2025,12,1), B200&lt;=DATE(2025,12,31)), U200/DDashboard!$C$13, True, "")
</f>
        <v/>
      </c>
      <c r="W200" s="201" t="str">
        <f t="shared" si="3"/>
        <v/>
      </c>
      <c r="X200" s="202"/>
      <c r="Y200" s="203"/>
      <c r="Z200" s="391"/>
      <c r="AA200" s="198"/>
      <c r="AB200" s="222"/>
      <c r="AC200" s="223"/>
      <c r="AD200" s="195"/>
      <c r="AE200" s="222"/>
      <c r="AF200" s="223"/>
      <c r="AG200" s="206" t="str">
        <f t="shared" si="4"/>
        <v/>
      </c>
      <c r="AH200" s="385" t="str">
        <f t="shared" si="5"/>
        <v/>
      </c>
      <c r="AI200" s="207" t="str">
        <f t="shared" si="24"/>
        <v/>
      </c>
      <c r="AJ200" s="367" t="str">
        <f t="shared" si="7"/>
        <v/>
      </c>
      <c r="AK200" s="208" t="str">
        <f t="shared" si="25"/>
        <v/>
      </c>
      <c r="AL200" s="207" t="str">
        <f t="shared" si="22"/>
        <v/>
      </c>
      <c r="AM200" s="209" t="str">
        <f>IF(AN200="", "", IF(AN200="Closed", 
    IF(ISNUMBER(AF200), AF200-B200,
        IF(ISNUMBER(AC200), AC200-B200,
            IF(ISNUMBER(Z200), Z200-B200, "")
        )
    ), 
    TODAY()-B200))</f>
        <v/>
      </c>
      <c r="AN200" s="386" t="str">
        <f t="shared" si="11"/>
        <v/>
      </c>
      <c r="AO200" s="366" t="str">
        <f t="shared" si="12"/>
        <v/>
      </c>
      <c r="AP200" s="210" t="str">
        <f t="shared" si="13"/>
        <v/>
      </c>
      <c r="AQ200" s="196" t="str">
        <f t="shared" si="26"/>
        <v/>
      </c>
      <c r="AR200" s="168" t="str">
        <f>IFS(AND(B200&gt;=DATE(2025,1,1), B200&lt;=DATE(2025,1,31)), AQ200/DDashboard!$C$2, AND(B200&gt;=DATE(2025,2,1), B200&lt;=DATE(2025,2,28)), AQ200/DDashboard!$C$3, AND(B200&gt;=DATE(2025,3,1), B200&lt;=DATE(2025,3,31)), AQ200/DDashboard!$C$4, AND(B200&gt;=DATE(2025,4,1), B200&lt;=DATE(2025,4,30)), AQ200/DDashboard!$C$5,AND(B200&gt;=DATE(2025,5,1), B200&lt;=DATE(2025,5,31)), AQ200/DDashboard!$C$6,AND(B200&gt;=DATE(2025,6,1), B200&lt;=DATE(2025,6,30)), AQ200/DDashboard!$C$7,AND(B200&gt;=DATE(2025,7,1), B200&lt;=DATE(2025,7,31)), AQ200/DDashboard!$C$8,AND(B200&gt;=DATE(2025,8,1), B200&lt;=DATE(2025,8,31)), AQ200/DDashboard!$C$9,AND(B200&gt;=DATE(2025,9,1), B200&lt;=DATE(2025,9,30)), AQ200/DDashboard!$C$10,AND(B200&gt;=DATE(2025,10,1), B200&lt;=DATE(2025,10,31)), AQ200/DDashboard!$C$11,AND(B200&gt;=DATE(2025,11,1), B200&lt;=DATE(2025,11,30)), AQ200/DDashboard!$C$12, AND(B200&gt;=DATE(2025,12,1), B200&lt;=DATE(2025,12,31)), AQ200/DDashboard!$C$13, True, "")
</f>
        <v/>
      </c>
      <c r="AS200" s="200" t="str">
        <f t="array" ref="AS200">IF(ISBLANK(C200), "", SUM($AR$9:AR200)
)</f>
        <v/>
      </c>
      <c r="AT200" s="169" t="b">
        <v>0</v>
      </c>
      <c r="AU200" s="169"/>
      <c r="AV200" s="169"/>
      <c r="AW200" s="169"/>
      <c r="AX200" s="387"/>
    </row>
    <row r="201">
      <c r="A201" s="418">
        <v>200.0</v>
      </c>
      <c r="B201" s="138"/>
      <c r="C201" s="139"/>
      <c r="D201" s="401"/>
      <c r="E201" s="420"/>
      <c r="F201" s="142"/>
      <c r="G201" s="398" t="str">
        <f t="shared" si="1"/>
        <v/>
      </c>
      <c r="H201" s="399"/>
      <c r="I201" s="399"/>
      <c r="J201" s="141"/>
      <c r="K201" s="145" t="str">
        <f>IFERROR(__xludf.DUMMYFUNCTION("IF(ISBLANK(C201), """", GOOGLEFINANCE(""NSE:"" &amp; C201,""price""))"),"")</f>
        <v/>
      </c>
      <c r="L201" s="146"/>
      <c r="M201" s="147"/>
      <c r="N201" s="148"/>
      <c r="O201" s="149"/>
      <c r="P201" s="150"/>
      <c r="Q201" s="377"/>
      <c r="R201" s="152"/>
      <c r="S201" s="150"/>
      <c r="T201" s="377"/>
      <c r="U201" s="153" t="str">
        <f t="shared" si="23"/>
        <v/>
      </c>
      <c r="V201" s="154" t="str">
        <f>IFS(AND(B201&gt;=DATE(2025,1,1), B201&lt;=DATE(2025,1,31)), U201/DDashboard!$C$2, AND(B201&gt;=DATE(2025,2,1), B201&lt;=DATE(2025,2,28)), U201/DDashboard!$C$3, AND(B201&gt;=DATE(2025,3,1), B201&lt;=DATE(2025,3,31)), U201/DDashboard!$C$4, AND(B201&gt;=DATE(2025,4,1), B201&lt;=DATE(2025,4,30)), U201/DDashboard!$C$5,AND(B201&gt;=DATE(2025,5,1), B201&lt;=DATE(2025,5,31)), U201/DDashboard!$C$6,AND(B201&gt;=DATE(2025,6,1), B201&lt;=DATE(2025,6,30)), U201/DDashboard!$C$7,AND(B201&gt;=DATE(2025,7,1), B201&lt;=DATE(2025,7,31)), U201/DDashboard!$C$8,AND(B201&gt;=DATE(2025,8,1), B201&lt;=DATE(2025,8,31)), U201/DDashboard!$C$9,AND(B201&gt;=DATE(2025,9,1), B201&lt;=DATE(2025,9,30)), U201/DDashboard!$C$10,AND(B201&gt;=DATE(2025,10,1), B201&lt;=DATE(2025,10,31)), U201/DDashboard!$C$11,AND(B201&gt;=DATE(2025,11,1), B201&lt;=DATE(2025,11,30)), U201/DDashboard!$C$12, AND(B201&gt;=DATE(2025,12,1), B201&lt;=DATE(2025,12,31)), U201/DDashboard!$C$13, True, "")
</f>
        <v/>
      </c>
      <c r="W201" s="65" t="str">
        <f t="shared" si="3"/>
        <v/>
      </c>
      <c r="X201" s="155"/>
      <c r="Y201" s="156"/>
      <c r="Z201" s="392"/>
      <c r="AA201" s="390"/>
      <c r="AB201" s="359"/>
      <c r="AC201" s="360"/>
      <c r="AD201" s="358"/>
      <c r="AE201" s="359"/>
      <c r="AF201" s="360"/>
      <c r="AG201" s="160" t="str">
        <f t="shared" si="4"/>
        <v/>
      </c>
      <c r="AH201" s="393" t="str">
        <f t="shared" si="5"/>
        <v/>
      </c>
      <c r="AI201" s="161" t="str">
        <f t="shared" si="24"/>
        <v/>
      </c>
      <c r="AJ201" s="365" t="str">
        <f t="shared" si="7"/>
        <v/>
      </c>
      <c r="AK201" s="162" t="str">
        <f t="shared" si="25"/>
        <v/>
      </c>
      <c r="AL201" s="161" t="str">
        <f t="shared" si="22"/>
        <v/>
      </c>
      <c r="AM201" s="163" t="str">
        <f>IF(AN201="", "", IF(AN201="Closed", IF(ISNUMBER(AF201), AF201-B201,IF(ISNUMBER(AC201), AC201-B201,IF(ISNUMBER(Z201), Z201-B201, ""))), TODAY()-B201))
</f>
        <v/>
      </c>
      <c r="AN201" s="381" t="str">
        <f t="shared" si="11"/>
        <v/>
      </c>
      <c r="AO201" s="366" t="str">
        <f t="shared" si="12"/>
        <v/>
      </c>
      <c r="AP201" s="166" t="str">
        <f t="shared" si="13"/>
        <v/>
      </c>
      <c r="AQ201" s="167" t="str">
        <f t="shared" si="26"/>
        <v/>
      </c>
      <c r="AR201" s="168" t="str">
        <f>IFS(AND(B201&gt;=DATE(2025,1,1), B201&lt;=DATE(2025,1,31)), AQ201/DDashboard!$C$2, AND(B201&gt;=DATE(2025,2,1), B201&lt;=DATE(2025,2,28)), AQ201/DDashboard!$C$3, AND(B201&gt;=DATE(2025,3,1), B201&lt;=DATE(2025,3,31)), AQ201/DDashboard!$C$4, AND(B201&gt;=DATE(2025,4,1), B201&lt;=DATE(2025,4,30)), AQ201/DDashboard!$C$5,AND(B201&gt;=DATE(2025,5,1), B201&lt;=DATE(2025,5,31)), AQ201/DDashboard!$C$6,AND(B201&gt;=DATE(2025,6,1), B201&lt;=DATE(2025,6,30)), AQ201/DDashboard!$C$7,AND(B201&gt;=DATE(2025,7,1), B201&lt;=DATE(2025,7,31)), AQ201/DDashboard!$C$8,AND(B201&gt;=DATE(2025,8,1), B201&lt;=DATE(2025,8,31)), AQ201/DDashboard!$C$9,AND(B201&gt;=DATE(2025,9,1), B201&lt;=DATE(2025,9,30)), AQ201/DDashboard!$C$10,AND(B201&gt;=DATE(2025,10,1), B201&lt;=DATE(2025,10,31)), AQ201/DDashboard!$C$11,AND(B201&gt;=DATE(2025,11,1), B201&lt;=DATE(2025,11,30)), AQ201/DDashboard!$C$12, AND(B201&gt;=DATE(2025,12,1), B201&lt;=DATE(2025,12,31)), AQ201/DDashboard!$C$13, True, "")
</f>
        <v/>
      </c>
      <c r="AS201" s="200" t="str">
        <f t="array" ref="AS201">IF(ISBLANK(C201), "", SUM($AR$9:AR201)
)</f>
        <v/>
      </c>
      <c r="AT201" s="169" t="b">
        <v>0</v>
      </c>
      <c r="AU201" s="169"/>
      <c r="AV201" s="169"/>
      <c r="AW201" s="169"/>
      <c r="AX201" s="383"/>
    </row>
    <row r="202">
      <c r="A202" s="421">
        <v>201.0</v>
      </c>
      <c r="B202" s="184"/>
      <c r="C202" s="185"/>
      <c r="D202" s="400"/>
      <c r="E202" s="417"/>
      <c r="F202" s="188"/>
      <c r="G202" s="397" t="str">
        <f t="shared" si="1"/>
        <v/>
      </c>
      <c r="H202" s="402"/>
      <c r="I202" s="402"/>
      <c r="J202" s="187"/>
      <c r="K202" s="145" t="str">
        <f>IFERROR(__xludf.DUMMYFUNCTION("IF(ISBLANK(C202), """", GOOGLEFINANCE(""NSE:"" &amp; C202,""price""))"),"")</f>
        <v/>
      </c>
      <c r="L202" s="213"/>
      <c r="M202" s="193"/>
      <c r="N202" s="194"/>
      <c r="O202" s="195"/>
      <c r="P202" s="196"/>
      <c r="Q202" s="376"/>
      <c r="R202" s="198"/>
      <c r="S202" s="196"/>
      <c r="T202" s="376"/>
      <c r="U202" s="199" t="str">
        <f t="shared" si="23"/>
        <v/>
      </c>
      <c r="V202" s="200" t="str">
        <f>IFS(AND(B202&gt;=DATE(2025,1,1), B202&lt;=DATE(2025,1,31)), U202/DDashboard!$C$2, AND(B202&gt;=DATE(2025,2,1), B202&lt;=DATE(2025,2,28)), U202/DDashboard!$C$3, AND(B202&gt;=DATE(2025,3,1), B202&lt;=DATE(2025,3,31)), U202/DDashboard!$C$4, AND(B202&gt;=DATE(2025,4,1), B202&lt;=DATE(2025,4,30)), U202/DDashboard!$C$5,AND(B202&gt;=DATE(2025,5,1), B202&lt;=DATE(2025,5,31)), U202/DDashboard!$C$6,AND(B202&gt;=DATE(2025,6,1), B202&lt;=DATE(2025,6,30)), U202/DDashboard!$C$7,AND(B202&gt;=DATE(2025,7,1), B202&lt;=DATE(2025,7,31)), U202/DDashboard!$C$8,AND(B202&gt;=DATE(2025,8,1), B202&lt;=DATE(2025,8,31)), U202/DDashboard!$C$9,AND(B202&gt;=DATE(2025,9,1), B202&lt;=DATE(2025,9,30)), U202/DDashboard!$C$10,AND(B202&gt;=DATE(2025,10,1), B202&lt;=DATE(2025,10,31)), U202/DDashboard!$C$11,AND(B202&gt;=DATE(2025,11,1), B202&lt;=DATE(2025,11,30)), U202/DDashboard!$C$12, AND(B202&gt;=DATE(2025,12,1), B202&lt;=DATE(2025,12,31)), U202/DDashboard!$C$13, True, "")
</f>
        <v/>
      </c>
      <c r="W202" s="201" t="str">
        <f t="shared" si="3"/>
        <v/>
      </c>
      <c r="X202" s="202"/>
      <c r="Y202" s="203"/>
      <c r="Z202" s="391"/>
      <c r="AA202" s="198"/>
      <c r="AB202" s="222"/>
      <c r="AC202" s="223"/>
      <c r="AD202" s="195"/>
      <c r="AE202" s="222"/>
      <c r="AF202" s="223"/>
      <c r="AG202" s="206" t="str">
        <f t="shared" si="4"/>
        <v/>
      </c>
      <c r="AH202" s="385" t="str">
        <f t="shared" si="5"/>
        <v/>
      </c>
      <c r="AI202" s="207" t="str">
        <f t="shared" si="24"/>
        <v/>
      </c>
      <c r="AJ202" s="367" t="str">
        <f t="shared" si="7"/>
        <v/>
      </c>
      <c r="AK202" s="208" t="str">
        <f t="shared" si="25"/>
        <v/>
      </c>
      <c r="AL202" s="207" t="str">
        <f t="shared" si="22"/>
        <v/>
      </c>
      <c r="AM202" s="209" t="str">
        <f>IF(AN202="", "", IF(AN202="Closed", 
    IF(ISNUMBER(AF202), AF202-B202,
        IF(ISNUMBER(AC202), AC202-B202,
            IF(ISNUMBER(Z202), Z202-B202, "")
        )
    ), 
    TODAY()-B202))</f>
        <v/>
      </c>
      <c r="AN202" s="386" t="str">
        <f t="shared" si="11"/>
        <v/>
      </c>
      <c r="AO202" s="366" t="str">
        <f t="shared" si="12"/>
        <v/>
      </c>
      <c r="AP202" s="210" t="str">
        <f t="shared" si="13"/>
        <v/>
      </c>
      <c r="AQ202" s="196" t="str">
        <f t="shared" si="26"/>
        <v/>
      </c>
      <c r="AR202" s="168" t="str">
        <f>IFS(AND(B202&gt;=DATE(2025,1,1), B202&lt;=DATE(2025,1,31)), AQ202/DDashboard!$C$2, AND(B202&gt;=DATE(2025,2,1), B202&lt;=DATE(2025,2,28)), AQ202/DDashboard!$C$3, AND(B202&gt;=DATE(2025,3,1), B202&lt;=DATE(2025,3,31)), AQ202/DDashboard!$C$4, AND(B202&gt;=DATE(2025,4,1), B202&lt;=DATE(2025,4,30)), AQ202/DDashboard!$C$5,AND(B202&gt;=DATE(2025,5,1), B202&lt;=DATE(2025,5,31)), AQ202/DDashboard!$C$6,AND(B202&gt;=DATE(2025,6,1), B202&lt;=DATE(2025,6,30)), AQ202/DDashboard!$C$7,AND(B202&gt;=DATE(2025,7,1), B202&lt;=DATE(2025,7,31)), AQ202/DDashboard!$C$8,AND(B202&gt;=DATE(2025,8,1), B202&lt;=DATE(2025,8,31)), AQ202/DDashboard!$C$9,AND(B202&gt;=DATE(2025,9,1), B202&lt;=DATE(2025,9,30)), AQ202/DDashboard!$C$10,AND(B202&gt;=DATE(2025,10,1), B202&lt;=DATE(2025,10,31)), AQ202/DDashboard!$C$11,AND(B202&gt;=DATE(2025,11,1), B202&lt;=DATE(2025,11,30)), AQ202/DDashboard!$C$12, AND(B202&gt;=DATE(2025,12,1), B202&lt;=DATE(2025,12,31)), AQ202/DDashboard!$C$13, True, "")
</f>
        <v/>
      </c>
      <c r="AS202" s="200" t="str">
        <f t="array" ref="AS202">IF(ISBLANK(C202), "", SUM($AR$9:AR202)
)</f>
        <v/>
      </c>
      <c r="AT202" s="169" t="b">
        <v>0</v>
      </c>
      <c r="AU202" s="169"/>
      <c r="AV202" s="169"/>
      <c r="AW202" s="169"/>
      <c r="AX202" s="387"/>
    </row>
    <row r="203">
      <c r="A203" s="421">
        <v>202.0</v>
      </c>
      <c r="B203" s="138"/>
      <c r="C203" s="139"/>
      <c r="D203" s="403"/>
      <c r="E203" s="403"/>
      <c r="F203" s="142"/>
      <c r="G203" s="398" t="str">
        <f t="shared" si="1"/>
        <v/>
      </c>
      <c r="H203" s="399"/>
      <c r="I203" s="399"/>
      <c r="J203" s="141"/>
      <c r="K203" s="145" t="str">
        <f>IFERROR(__xludf.DUMMYFUNCTION("IF(ISBLANK(C203), """", GOOGLEFINANCE(""NSE:"" &amp; C203,""price""))"),"")</f>
        <v/>
      </c>
      <c r="L203" s="146"/>
      <c r="M203" s="147"/>
      <c r="N203" s="148"/>
      <c r="O203" s="149"/>
      <c r="P203" s="150"/>
      <c r="Q203" s="377"/>
      <c r="R203" s="152"/>
      <c r="S203" s="150"/>
      <c r="T203" s="377"/>
      <c r="U203" s="153" t="str">
        <f t="shared" si="23"/>
        <v/>
      </c>
      <c r="V203" s="154" t="str">
        <f>IFS(AND(B203&gt;=DATE(2025,1,1), B203&lt;=DATE(2025,1,31)), U203/DDashboard!$C$2, AND(B203&gt;=DATE(2025,2,1), B203&lt;=DATE(2025,2,28)), U203/DDashboard!$C$3, AND(B203&gt;=DATE(2025,3,1), B203&lt;=DATE(2025,3,31)), U203/DDashboard!$C$4, AND(B203&gt;=DATE(2025,4,1), B203&lt;=DATE(2025,4,30)), U203/DDashboard!$C$5,AND(B203&gt;=DATE(2025,5,1), B203&lt;=DATE(2025,5,31)), U203/DDashboard!$C$6,AND(B203&gt;=DATE(2025,6,1), B203&lt;=DATE(2025,6,30)), U203/DDashboard!$C$7,AND(B203&gt;=DATE(2025,7,1), B203&lt;=DATE(2025,7,31)), U203/DDashboard!$C$8,AND(B203&gt;=DATE(2025,8,1), B203&lt;=DATE(2025,8,31)), U203/DDashboard!$C$9,AND(B203&gt;=DATE(2025,9,1), B203&lt;=DATE(2025,9,30)), U203/DDashboard!$C$10,AND(B203&gt;=DATE(2025,10,1), B203&lt;=DATE(2025,10,31)), U203/DDashboard!$C$11,AND(B203&gt;=DATE(2025,11,1), B203&lt;=DATE(2025,11,30)), U203/DDashboard!$C$12, AND(B203&gt;=DATE(2025,12,1), B203&lt;=DATE(2025,12,31)), U203/DDashboard!$C$13, True, "")
</f>
        <v/>
      </c>
      <c r="W203" s="65" t="str">
        <f t="shared" si="3"/>
        <v/>
      </c>
      <c r="X203" s="155"/>
      <c r="Y203" s="156"/>
      <c r="Z203" s="392"/>
      <c r="AA203" s="390"/>
      <c r="AB203" s="359"/>
      <c r="AC203" s="360"/>
      <c r="AD203" s="358"/>
      <c r="AE203" s="359"/>
      <c r="AF203" s="360"/>
      <c r="AG203" s="160" t="str">
        <f t="shared" si="4"/>
        <v/>
      </c>
      <c r="AH203" s="393" t="str">
        <f t="shared" si="5"/>
        <v/>
      </c>
      <c r="AI203" s="161" t="str">
        <f t="shared" si="24"/>
        <v/>
      </c>
      <c r="AJ203" s="365" t="str">
        <f t="shared" si="7"/>
        <v/>
      </c>
      <c r="AK203" s="162" t="str">
        <f t="shared" si="25"/>
        <v/>
      </c>
      <c r="AL203" s="161" t="str">
        <f t="shared" si="22"/>
        <v/>
      </c>
      <c r="AM203" s="163" t="str">
        <f>IF(AN203="", "", IF(AN203="Closed", IF(ISNUMBER(AF203), AF203-B203,IF(ISNUMBER(AC203), AC203-B203,IF(ISNUMBER(Z203), Z203-B203, ""))), TODAY()-B203))
</f>
        <v/>
      </c>
      <c r="AN203" s="381" t="str">
        <f t="shared" si="11"/>
        <v/>
      </c>
      <c r="AO203" s="366" t="str">
        <f t="shared" si="12"/>
        <v/>
      </c>
      <c r="AP203" s="166" t="str">
        <f t="shared" si="13"/>
        <v/>
      </c>
      <c r="AQ203" s="167" t="str">
        <f t="shared" si="26"/>
        <v/>
      </c>
      <c r="AR203" s="168" t="str">
        <f>IFS(AND(B203&gt;=DATE(2025,1,1), B203&lt;=DATE(2025,1,31)), AQ203/DDashboard!$C$2, AND(B203&gt;=DATE(2025,2,1), B203&lt;=DATE(2025,2,28)), AQ203/DDashboard!$C$3, AND(B203&gt;=DATE(2025,3,1), B203&lt;=DATE(2025,3,31)), AQ203/DDashboard!$C$4, AND(B203&gt;=DATE(2025,4,1), B203&lt;=DATE(2025,4,30)), AQ203/DDashboard!$C$5,AND(B203&gt;=DATE(2025,5,1), B203&lt;=DATE(2025,5,31)), AQ203/DDashboard!$C$6,AND(B203&gt;=DATE(2025,6,1), B203&lt;=DATE(2025,6,30)), AQ203/DDashboard!$C$7,AND(B203&gt;=DATE(2025,7,1), B203&lt;=DATE(2025,7,31)), AQ203/DDashboard!$C$8,AND(B203&gt;=DATE(2025,8,1), B203&lt;=DATE(2025,8,31)), AQ203/DDashboard!$C$9,AND(B203&gt;=DATE(2025,9,1), B203&lt;=DATE(2025,9,30)), AQ203/DDashboard!$C$10,AND(B203&gt;=DATE(2025,10,1), B203&lt;=DATE(2025,10,31)), AQ203/DDashboard!$C$11,AND(B203&gt;=DATE(2025,11,1), B203&lt;=DATE(2025,11,30)), AQ203/DDashboard!$C$12, AND(B203&gt;=DATE(2025,12,1), B203&lt;=DATE(2025,12,31)), AQ203/DDashboard!$C$13, True, "")
</f>
        <v/>
      </c>
      <c r="AS203" s="200" t="str">
        <f t="array" ref="AS203">IF(ISBLANK(C203), "", SUM($AR$9:AR203)
)</f>
        <v/>
      </c>
      <c r="AT203" s="169" t="b">
        <v>0</v>
      </c>
      <c r="AU203" s="169"/>
      <c r="AV203" s="169"/>
      <c r="AW203" s="169"/>
      <c r="AX203" s="183"/>
    </row>
    <row r="204">
      <c r="A204" s="421">
        <v>203.0</v>
      </c>
      <c r="B204" s="184"/>
      <c r="C204" s="185"/>
      <c r="D204" s="400"/>
      <c r="E204" s="404"/>
      <c r="F204" s="188"/>
      <c r="G204" s="397" t="str">
        <f t="shared" si="1"/>
        <v/>
      </c>
      <c r="H204" s="402"/>
      <c r="I204" s="402"/>
      <c r="J204" s="187"/>
      <c r="K204" s="145" t="str">
        <f>IFERROR(__xludf.DUMMYFUNCTION("IF(ISBLANK(C204), """", GOOGLEFINANCE(""NSE:"" &amp; C204,""price""))"),"")</f>
        <v/>
      </c>
      <c r="L204" s="213"/>
      <c r="M204" s="193"/>
      <c r="N204" s="194"/>
      <c r="O204" s="195"/>
      <c r="P204" s="196"/>
      <c r="Q204" s="376"/>
      <c r="R204" s="198"/>
      <c r="S204" s="196"/>
      <c r="T204" s="376"/>
      <c r="U204" s="199" t="str">
        <f t="shared" si="23"/>
        <v/>
      </c>
      <c r="V204" s="200" t="str">
        <f>IFS(AND(B204&gt;=DATE(2025,1,1), B204&lt;=DATE(2025,1,31)), U204/DDashboard!$C$2, AND(B204&gt;=DATE(2025,2,1), B204&lt;=DATE(2025,2,28)), U204/DDashboard!$C$3, AND(B204&gt;=DATE(2025,3,1), B204&lt;=DATE(2025,3,31)), U204/DDashboard!$C$4, AND(B204&gt;=DATE(2025,4,1), B204&lt;=DATE(2025,4,30)), U204/DDashboard!$C$5,AND(B204&gt;=DATE(2025,5,1), B204&lt;=DATE(2025,5,31)), U204/DDashboard!$C$6,AND(B204&gt;=DATE(2025,6,1), B204&lt;=DATE(2025,6,30)), U204/DDashboard!$C$7,AND(B204&gt;=DATE(2025,7,1), B204&lt;=DATE(2025,7,31)), U204/DDashboard!$C$8,AND(B204&gt;=DATE(2025,8,1), B204&lt;=DATE(2025,8,31)), U204/DDashboard!$C$9,AND(B204&gt;=DATE(2025,9,1), B204&lt;=DATE(2025,9,30)), U204/DDashboard!$C$10,AND(B204&gt;=DATE(2025,10,1), B204&lt;=DATE(2025,10,31)), U204/DDashboard!$C$11,AND(B204&gt;=DATE(2025,11,1), B204&lt;=DATE(2025,11,30)), U204/DDashboard!$C$12, AND(B204&gt;=DATE(2025,12,1), B204&lt;=DATE(2025,12,31)), U204/DDashboard!$C$13, True, "")
</f>
        <v/>
      </c>
      <c r="W204" s="201" t="str">
        <f t="shared" si="3"/>
        <v/>
      </c>
      <c r="X204" s="202"/>
      <c r="Y204" s="203"/>
      <c r="Z204" s="391"/>
      <c r="AA204" s="198"/>
      <c r="AB204" s="222"/>
      <c r="AC204" s="223"/>
      <c r="AD204" s="195"/>
      <c r="AE204" s="222"/>
      <c r="AF204" s="223"/>
      <c r="AG204" s="206" t="str">
        <f t="shared" si="4"/>
        <v/>
      </c>
      <c r="AH204" s="385" t="str">
        <f t="shared" si="5"/>
        <v/>
      </c>
      <c r="AI204" s="207" t="str">
        <f t="shared" si="24"/>
        <v/>
      </c>
      <c r="AJ204" s="367" t="str">
        <f t="shared" si="7"/>
        <v/>
      </c>
      <c r="AK204" s="208" t="str">
        <f t="shared" si="25"/>
        <v/>
      </c>
      <c r="AL204" s="207" t="str">
        <f t="shared" si="22"/>
        <v/>
      </c>
      <c r="AM204" s="209" t="str">
        <f>IF(AN204="", "", IF(AN204="Closed", 
    IF(ISNUMBER(AF204), AF204-B204,
        IF(ISNUMBER(AC204), AC204-B204,
            IF(ISNUMBER(Z204), Z204-B204, "")
        )
    ), 
    TODAY()-B204))</f>
        <v/>
      </c>
      <c r="AN204" s="386" t="str">
        <f t="shared" si="11"/>
        <v/>
      </c>
      <c r="AO204" s="366" t="str">
        <f t="shared" si="12"/>
        <v/>
      </c>
      <c r="AP204" s="210" t="str">
        <f t="shared" si="13"/>
        <v/>
      </c>
      <c r="AQ204" s="196" t="str">
        <f t="shared" si="26"/>
        <v/>
      </c>
      <c r="AR204" s="168" t="str">
        <f>IFS(AND(B204&gt;=DATE(2025,1,1), B204&lt;=DATE(2025,1,31)), AQ204/DDashboard!$C$2, AND(B204&gt;=DATE(2025,2,1), B204&lt;=DATE(2025,2,28)), AQ204/DDashboard!$C$3, AND(B204&gt;=DATE(2025,3,1), B204&lt;=DATE(2025,3,31)), AQ204/DDashboard!$C$4, AND(B204&gt;=DATE(2025,4,1), B204&lt;=DATE(2025,4,30)), AQ204/DDashboard!$C$5,AND(B204&gt;=DATE(2025,5,1), B204&lt;=DATE(2025,5,31)), AQ204/DDashboard!$C$6,AND(B204&gt;=DATE(2025,6,1), B204&lt;=DATE(2025,6,30)), AQ204/DDashboard!$C$7,AND(B204&gt;=DATE(2025,7,1), B204&lt;=DATE(2025,7,31)), AQ204/DDashboard!$C$8,AND(B204&gt;=DATE(2025,8,1), B204&lt;=DATE(2025,8,31)), AQ204/DDashboard!$C$9,AND(B204&gt;=DATE(2025,9,1), B204&lt;=DATE(2025,9,30)), AQ204/DDashboard!$C$10,AND(B204&gt;=DATE(2025,10,1), B204&lt;=DATE(2025,10,31)), AQ204/DDashboard!$C$11,AND(B204&gt;=DATE(2025,11,1), B204&lt;=DATE(2025,11,30)), AQ204/DDashboard!$C$12, AND(B204&gt;=DATE(2025,12,1), B204&lt;=DATE(2025,12,31)), AQ204/DDashboard!$C$13, True, "")
</f>
        <v/>
      </c>
      <c r="AS204" s="200" t="str">
        <f t="array" ref="AS204">IF(ISBLANK(C204), "", SUM($AR$9:AR204)
)</f>
        <v/>
      </c>
      <c r="AT204" s="169" t="b">
        <v>0</v>
      </c>
      <c r="AU204" s="169"/>
      <c r="AV204" s="169"/>
      <c r="AW204" s="169"/>
      <c r="AX204" s="387"/>
    </row>
    <row r="205">
      <c r="A205" s="421">
        <v>204.0</v>
      </c>
      <c r="B205" s="138"/>
      <c r="C205" s="139"/>
      <c r="D205" s="401"/>
      <c r="E205" s="414"/>
      <c r="F205" s="142"/>
      <c r="G205" s="398" t="str">
        <f t="shared" si="1"/>
        <v/>
      </c>
      <c r="H205" s="399"/>
      <c r="I205" s="399"/>
      <c r="J205" s="141"/>
      <c r="K205" s="145" t="str">
        <f>IFERROR(__xludf.DUMMYFUNCTION("IF(ISBLANK(C205), """", GOOGLEFINANCE(""NSE:"" &amp; C205,""price""))"),"")</f>
        <v/>
      </c>
      <c r="L205" s="146"/>
      <c r="M205" s="147"/>
      <c r="N205" s="422"/>
      <c r="O205" s="149"/>
      <c r="P205" s="150"/>
      <c r="Q205" s="377"/>
      <c r="R205" s="152"/>
      <c r="S205" s="150"/>
      <c r="T205" s="377"/>
      <c r="U205" s="153" t="str">
        <f t="shared" si="23"/>
        <v/>
      </c>
      <c r="V205" s="154" t="str">
        <f>IFS(AND(B205&gt;=DATE(2025,1,1), B205&lt;=DATE(2025,1,31)), U205/DDashboard!$C$2, AND(B205&gt;=DATE(2025,2,1), B205&lt;=DATE(2025,2,28)), U205/DDashboard!$C$3, AND(B205&gt;=DATE(2025,3,1), B205&lt;=DATE(2025,3,31)), U205/DDashboard!$C$4, AND(B205&gt;=DATE(2025,4,1), B205&lt;=DATE(2025,4,30)), U205/DDashboard!$C$5,AND(B205&gt;=DATE(2025,5,1), B205&lt;=DATE(2025,5,31)), U205/DDashboard!$C$6,AND(B205&gt;=DATE(2025,6,1), B205&lt;=DATE(2025,6,30)), U205/DDashboard!$C$7,AND(B205&gt;=DATE(2025,7,1), B205&lt;=DATE(2025,7,31)), U205/DDashboard!$C$8,AND(B205&gt;=DATE(2025,8,1), B205&lt;=DATE(2025,8,31)), U205/DDashboard!$C$9,AND(B205&gt;=DATE(2025,9,1), B205&lt;=DATE(2025,9,30)), U205/DDashboard!$C$10,AND(B205&gt;=DATE(2025,10,1), B205&lt;=DATE(2025,10,31)), U205/DDashboard!$C$11,AND(B205&gt;=DATE(2025,11,1), B205&lt;=DATE(2025,11,30)), U205/DDashboard!$C$12, AND(B205&gt;=DATE(2025,12,1), B205&lt;=DATE(2025,12,31)), U205/DDashboard!$C$13, True, "")
</f>
        <v/>
      </c>
      <c r="W205" s="65" t="str">
        <f t="shared" si="3"/>
        <v/>
      </c>
      <c r="X205" s="155"/>
      <c r="Y205" s="156"/>
      <c r="Z205" s="392"/>
      <c r="AA205" s="390"/>
      <c r="AB205" s="359"/>
      <c r="AC205" s="360"/>
      <c r="AD205" s="358"/>
      <c r="AE205" s="359"/>
      <c r="AF205" s="360"/>
      <c r="AG205" s="160" t="str">
        <f t="shared" si="4"/>
        <v/>
      </c>
      <c r="AH205" s="393" t="str">
        <f t="shared" si="5"/>
        <v/>
      </c>
      <c r="AI205" s="161" t="str">
        <f t="shared" si="24"/>
        <v/>
      </c>
      <c r="AJ205" s="365" t="str">
        <f t="shared" si="7"/>
        <v/>
      </c>
      <c r="AK205" s="162" t="str">
        <f t="shared" si="25"/>
        <v/>
      </c>
      <c r="AL205" s="161" t="str">
        <f t="shared" si="22"/>
        <v/>
      </c>
      <c r="AM205" s="163" t="str">
        <f>IF(AN205="", "", IF(AN205="Closed", IF(ISNUMBER(AF205), AF205-B205,IF(ISNUMBER(AC205), AC205-B205,IF(ISNUMBER(Z205), Z205-B205, ""))), TODAY()-B205))
</f>
        <v/>
      </c>
      <c r="AN205" s="381" t="str">
        <f t="shared" si="11"/>
        <v/>
      </c>
      <c r="AO205" s="366" t="str">
        <f t="shared" si="12"/>
        <v/>
      </c>
      <c r="AP205" s="166" t="str">
        <f t="shared" si="13"/>
        <v/>
      </c>
      <c r="AQ205" s="167" t="str">
        <f t="shared" si="26"/>
        <v/>
      </c>
      <c r="AR205" s="168" t="str">
        <f>IFS(AND(B205&gt;=DATE(2025,1,1), B205&lt;=DATE(2025,1,31)), AQ205/DDashboard!$C$2, AND(B205&gt;=DATE(2025,2,1), B205&lt;=DATE(2025,2,28)), AQ205/DDashboard!$C$3, AND(B205&gt;=DATE(2025,3,1), B205&lt;=DATE(2025,3,31)), AQ205/DDashboard!$C$4, AND(B205&gt;=DATE(2025,4,1), B205&lt;=DATE(2025,4,30)), AQ205/DDashboard!$C$5,AND(B205&gt;=DATE(2025,5,1), B205&lt;=DATE(2025,5,31)), AQ205/DDashboard!$C$6,AND(B205&gt;=DATE(2025,6,1), B205&lt;=DATE(2025,6,30)), AQ205/DDashboard!$C$7,AND(B205&gt;=DATE(2025,7,1), B205&lt;=DATE(2025,7,31)), AQ205/DDashboard!$C$8,AND(B205&gt;=DATE(2025,8,1), B205&lt;=DATE(2025,8,31)), AQ205/DDashboard!$C$9,AND(B205&gt;=DATE(2025,9,1), B205&lt;=DATE(2025,9,30)), AQ205/DDashboard!$C$10,AND(B205&gt;=DATE(2025,10,1), B205&lt;=DATE(2025,10,31)), AQ205/DDashboard!$C$11,AND(B205&gt;=DATE(2025,11,1), B205&lt;=DATE(2025,11,30)), AQ205/DDashboard!$C$12, AND(B205&gt;=DATE(2025,12,1), B205&lt;=DATE(2025,12,31)), AQ205/DDashboard!$C$13, True, "")
</f>
        <v/>
      </c>
      <c r="AS205" s="200" t="str">
        <f t="array" ref="AS205">IF(ISBLANK(C205), "", SUM($AR$9:AR205)
)</f>
        <v/>
      </c>
      <c r="AT205" s="169" t="b">
        <v>0</v>
      </c>
      <c r="AU205" s="169"/>
      <c r="AV205" s="169"/>
      <c r="AW205" s="169"/>
      <c r="AX205" s="383"/>
    </row>
    <row r="206">
      <c r="A206" s="421">
        <v>205.0</v>
      </c>
      <c r="B206" s="184"/>
      <c r="C206" s="185"/>
      <c r="D206" s="400"/>
      <c r="E206" s="417"/>
      <c r="F206" s="188"/>
      <c r="G206" s="397" t="str">
        <f t="shared" si="1"/>
        <v/>
      </c>
      <c r="H206" s="402"/>
      <c r="I206" s="402"/>
      <c r="J206" s="187"/>
      <c r="K206" s="145" t="str">
        <f>IFERROR(__xludf.DUMMYFUNCTION("IF(ISBLANK(C206), """", GOOGLEFINANCE(""NSE:"" &amp; C206,""price""))"),"")</f>
        <v/>
      </c>
      <c r="L206" s="213"/>
      <c r="M206" s="193"/>
      <c r="N206" s="194"/>
      <c r="O206" s="195"/>
      <c r="P206" s="196"/>
      <c r="Q206" s="376"/>
      <c r="R206" s="198"/>
      <c r="S206" s="196"/>
      <c r="T206" s="376"/>
      <c r="U206" s="199" t="str">
        <f t="shared" si="23"/>
        <v/>
      </c>
      <c r="V206" s="200" t="str">
        <f>IFS(AND(B206&gt;=DATE(2025,1,1), B206&lt;=DATE(2025,1,31)), U206/DDashboard!$C$2, AND(B206&gt;=DATE(2025,2,1), B206&lt;=DATE(2025,2,28)), U206/DDashboard!$C$3, AND(B206&gt;=DATE(2025,3,1), B206&lt;=DATE(2025,3,31)), U206/DDashboard!$C$4, AND(B206&gt;=DATE(2025,4,1), B206&lt;=DATE(2025,4,30)), U206/DDashboard!$C$5,AND(B206&gt;=DATE(2025,5,1), B206&lt;=DATE(2025,5,31)), U206/DDashboard!$C$6,AND(B206&gt;=DATE(2025,6,1), B206&lt;=DATE(2025,6,30)), U206/DDashboard!$C$7,AND(B206&gt;=DATE(2025,7,1), B206&lt;=DATE(2025,7,31)), U206/DDashboard!$C$8,AND(B206&gt;=DATE(2025,8,1), B206&lt;=DATE(2025,8,31)), U206/DDashboard!$C$9,AND(B206&gt;=DATE(2025,9,1), B206&lt;=DATE(2025,9,30)), U206/DDashboard!$C$10,AND(B206&gt;=DATE(2025,10,1), B206&lt;=DATE(2025,10,31)), U206/DDashboard!$C$11,AND(B206&gt;=DATE(2025,11,1), B206&lt;=DATE(2025,11,30)), U206/DDashboard!$C$12, AND(B206&gt;=DATE(2025,12,1), B206&lt;=DATE(2025,12,31)), U206/DDashboard!$C$13, True, "")
</f>
        <v/>
      </c>
      <c r="W206" s="201" t="str">
        <f t="shared" si="3"/>
        <v/>
      </c>
      <c r="X206" s="202"/>
      <c r="Y206" s="203"/>
      <c r="Z206" s="391"/>
      <c r="AA206" s="198"/>
      <c r="AB206" s="222"/>
      <c r="AC206" s="223"/>
      <c r="AD206" s="195"/>
      <c r="AE206" s="222"/>
      <c r="AF206" s="223"/>
      <c r="AG206" s="206" t="str">
        <f t="shared" si="4"/>
        <v/>
      </c>
      <c r="AH206" s="385" t="str">
        <f t="shared" si="5"/>
        <v/>
      </c>
      <c r="AI206" s="207" t="str">
        <f t="shared" si="24"/>
        <v/>
      </c>
      <c r="AJ206" s="367" t="str">
        <f t="shared" si="7"/>
        <v/>
      </c>
      <c r="AK206" s="208" t="str">
        <f t="shared" si="25"/>
        <v/>
      </c>
      <c r="AL206" s="207" t="str">
        <f t="shared" si="22"/>
        <v/>
      </c>
      <c r="AM206" s="209" t="str">
        <f>IF(AN206="", "", IF(AN206="Closed", 
    IF(ISNUMBER(AF206), AF206-B206,
        IF(ISNUMBER(AC206), AC206-B206,
            IF(ISNUMBER(Z206), Z206-B206, "")
        )
    ), 
    TODAY()-B206))</f>
        <v/>
      </c>
      <c r="AN206" s="386" t="str">
        <f t="shared" si="11"/>
        <v/>
      </c>
      <c r="AO206" s="366" t="str">
        <f t="shared" si="12"/>
        <v/>
      </c>
      <c r="AP206" s="210" t="str">
        <f t="shared" si="13"/>
        <v/>
      </c>
      <c r="AQ206" s="196" t="str">
        <f t="shared" si="26"/>
        <v/>
      </c>
      <c r="AR206" s="168" t="str">
        <f>IFS(AND(B206&gt;=DATE(2025,1,1), B206&lt;=DATE(2025,1,31)), AQ206/DDashboard!$C$2, AND(B206&gt;=DATE(2025,2,1), B206&lt;=DATE(2025,2,28)), AQ206/DDashboard!$C$3, AND(B206&gt;=DATE(2025,3,1), B206&lt;=DATE(2025,3,31)), AQ206/DDashboard!$C$4, AND(B206&gt;=DATE(2025,4,1), B206&lt;=DATE(2025,4,30)), AQ206/DDashboard!$C$5,AND(B206&gt;=DATE(2025,5,1), B206&lt;=DATE(2025,5,31)), AQ206/DDashboard!$C$6,AND(B206&gt;=DATE(2025,6,1), B206&lt;=DATE(2025,6,30)), AQ206/DDashboard!$C$7,AND(B206&gt;=DATE(2025,7,1), B206&lt;=DATE(2025,7,31)), AQ206/DDashboard!$C$8,AND(B206&gt;=DATE(2025,8,1), B206&lt;=DATE(2025,8,31)), AQ206/DDashboard!$C$9,AND(B206&gt;=DATE(2025,9,1), B206&lt;=DATE(2025,9,30)), AQ206/DDashboard!$C$10,AND(B206&gt;=DATE(2025,10,1), B206&lt;=DATE(2025,10,31)), AQ206/DDashboard!$C$11,AND(B206&gt;=DATE(2025,11,1), B206&lt;=DATE(2025,11,30)), AQ206/DDashboard!$C$12, AND(B206&gt;=DATE(2025,12,1), B206&lt;=DATE(2025,12,31)), AQ206/DDashboard!$C$13, True, "")
</f>
        <v/>
      </c>
      <c r="AS206" s="200" t="str">
        <f t="array" ref="AS206">IF(ISBLANK(C206), "", SUM($AR$9:AR206)
)</f>
        <v/>
      </c>
      <c r="AT206" s="169" t="b">
        <v>0</v>
      </c>
      <c r="AU206" s="169"/>
      <c r="AV206" s="169"/>
      <c r="AW206" s="169"/>
      <c r="AX206" s="387"/>
    </row>
    <row r="207">
      <c r="A207" s="421">
        <v>206.0</v>
      </c>
      <c r="B207" s="138"/>
      <c r="C207" s="139"/>
      <c r="D207" s="401"/>
      <c r="E207" s="414"/>
      <c r="F207" s="142"/>
      <c r="G207" s="398" t="str">
        <f t="shared" si="1"/>
        <v/>
      </c>
      <c r="H207" s="399"/>
      <c r="I207" s="399"/>
      <c r="J207" s="141"/>
      <c r="K207" s="145" t="str">
        <f>IFERROR(__xludf.DUMMYFUNCTION("IF(ISBLANK(C207), """", GOOGLEFINANCE(""NSE:"" &amp; C207,""price""))"),"")</f>
        <v/>
      </c>
      <c r="L207" s="146"/>
      <c r="M207" s="147"/>
      <c r="N207" s="422"/>
      <c r="O207" s="149"/>
      <c r="P207" s="150"/>
      <c r="Q207" s="377"/>
      <c r="R207" s="152"/>
      <c r="S207" s="150"/>
      <c r="T207" s="377"/>
      <c r="U207" s="153" t="str">
        <f t="shared" si="23"/>
        <v/>
      </c>
      <c r="V207" s="154" t="str">
        <f>IFS(AND(B207&gt;=DATE(2025,1,1), B207&lt;=DATE(2025,1,31)), U207/DDashboard!$C$2, AND(B207&gt;=DATE(2025,2,1), B207&lt;=DATE(2025,2,28)), U207/DDashboard!$C$3, AND(B207&gt;=DATE(2025,3,1), B207&lt;=DATE(2025,3,31)), U207/DDashboard!$C$4, AND(B207&gt;=DATE(2025,4,1), B207&lt;=DATE(2025,4,30)), U207/DDashboard!$C$5,AND(B207&gt;=DATE(2025,5,1), B207&lt;=DATE(2025,5,31)), U207/DDashboard!$C$6,AND(B207&gt;=DATE(2025,6,1), B207&lt;=DATE(2025,6,30)), U207/DDashboard!$C$7,AND(B207&gt;=DATE(2025,7,1), B207&lt;=DATE(2025,7,31)), U207/DDashboard!$C$8,AND(B207&gt;=DATE(2025,8,1), B207&lt;=DATE(2025,8,31)), U207/DDashboard!$C$9,AND(B207&gt;=DATE(2025,9,1), B207&lt;=DATE(2025,9,30)), U207/DDashboard!$C$10,AND(B207&gt;=DATE(2025,10,1), B207&lt;=DATE(2025,10,31)), U207/DDashboard!$C$11,AND(B207&gt;=DATE(2025,11,1), B207&lt;=DATE(2025,11,30)), U207/DDashboard!$C$12, AND(B207&gt;=DATE(2025,12,1), B207&lt;=DATE(2025,12,31)), U207/DDashboard!$C$13, True, "")
</f>
        <v/>
      </c>
      <c r="W207" s="65" t="str">
        <f t="shared" si="3"/>
        <v/>
      </c>
      <c r="X207" s="155"/>
      <c r="Y207" s="156"/>
      <c r="Z207" s="392"/>
      <c r="AA207" s="390"/>
      <c r="AB207" s="359"/>
      <c r="AC207" s="360"/>
      <c r="AD207" s="358"/>
      <c r="AE207" s="359"/>
      <c r="AF207" s="360"/>
      <c r="AG207" s="160" t="str">
        <f t="shared" si="4"/>
        <v/>
      </c>
      <c r="AH207" s="393" t="str">
        <f t="shared" si="5"/>
        <v/>
      </c>
      <c r="AI207" s="161" t="str">
        <f t="shared" si="24"/>
        <v/>
      </c>
      <c r="AJ207" s="365" t="str">
        <f t="shared" si="7"/>
        <v/>
      </c>
      <c r="AK207" s="162" t="str">
        <f t="shared" si="25"/>
        <v/>
      </c>
      <c r="AL207" s="161" t="str">
        <f t="shared" si="22"/>
        <v/>
      </c>
      <c r="AM207" s="163" t="str">
        <f t="shared" ref="AM207:AM208" si="27">IF(AN207="", "", IF(AN207="Closed", IF(ISNUMBER(AF207), AF207-B207,IF(ISNUMBER(AC207), AC207-B207,IF(ISNUMBER(Z207), Z207-B207, ""))), TODAY()-B207))
</f>
        <v/>
      </c>
      <c r="AN207" s="381" t="str">
        <f t="shared" si="11"/>
        <v/>
      </c>
      <c r="AO207" s="366" t="str">
        <f t="shared" si="12"/>
        <v/>
      </c>
      <c r="AP207" s="166" t="str">
        <f t="shared" si="13"/>
        <v/>
      </c>
      <c r="AQ207" s="167" t="str">
        <f t="shared" si="26"/>
        <v/>
      </c>
      <c r="AR207" s="168" t="str">
        <f>IFS(AND(B207&gt;=DATE(2025,1,1), B207&lt;=DATE(2025,1,31)), AQ207/DDashboard!$C$2, AND(B207&gt;=DATE(2025,2,1), B207&lt;=DATE(2025,2,28)), AQ207/DDashboard!$C$3, AND(B207&gt;=DATE(2025,3,1), B207&lt;=DATE(2025,3,31)), AQ207/DDashboard!$C$4, AND(B207&gt;=DATE(2025,4,1), B207&lt;=DATE(2025,4,30)), AQ207/DDashboard!$C$5,AND(B207&gt;=DATE(2025,5,1), B207&lt;=DATE(2025,5,31)), AQ207/DDashboard!$C$6,AND(B207&gt;=DATE(2025,6,1), B207&lt;=DATE(2025,6,30)), AQ207/DDashboard!$C$7,AND(B207&gt;=DATE(2025,7,1), B207&lt;=DATE(2025,7,31)), AQ207/DDashboard!$C$8,AND(B207&gt;=DATE(2025,8,1), B207&lt;=DATE(2025,8,31)), AQ207/DDashboard!$C$9,AND(B207&gt;=DATE(2025,9,1), B207&lt;=DATE(2025,9,30)), AQ207/DDashboard!$C$10,AND(B207&gt;=DATE(2025,10,1), B207&lt;=DATE(2025,10,31)), AQ207/DDashboard!$C$11,AND(B207&gt;=DATE(2025,11,1), B207&lt;=DATE(2025,11,30)), AQ207/DDashboard!$C$12, AND(B207&gt;=DATE(2025,12,1), B207&lt;=DATE(2025,12,31)), AQ207/DDashboard!$C$13, True, "")
</f>
        <v/>
      </c>
      <c r="AS207" s="200" t="str">
        <f t="array" ref="AS207">IF(ISBLANK(C207), "", SUM($AR$9:AR207)
)</f>
        <v/>
      </c>
      <c r="AT207" s="169" t="b">
        <v>0</v>
      </c>
      <c r="AU207" s="169"/>
      <c r="AV207" s="169"/>
      <c r="AW207" s="169"/>
      <c r="AX207" s="383"/>
    </row>
    <row r="208">
      <c r="A208" s="421">
        <v>207.0</v>
      </c>
      <c r="B208" s="184"/>
      <c r="C208" s="185"/>
      <c r="D208" s="404"/>
      <c r="E208" s="404"/>
      <c r="F208" s="188"/>
      <c r="G208" s="397" t="str">
        <f t="shared" si="1"/>
        <v/>
      </c>
      <c r="H208" s="190"/>
      <c r="I208" s="402"/>
      <c r="J208" s="187"/>
      <c r="K208" s="145" t="str">
        <f>IFERROR(__xludf.DUMMYFUNCTION("IF(ISBLANK(C208), """", GOOGLEFINANCE(""NSE:"" &amp; C208,""price""))"),"")</f>
        <v/>
      </c>
      <c r="L208" s="213"/>
      <c r="M208" s="193"/>
      <c r="N208" s="194"/>
      <c r="O208" s="195"/>
      <c r="P208" s="196"/>
      <c r="Q208" s="376"/>
      <c r="R208" s="198"/>
      <c r="S208" s="196"/>
      <c r="T208" s="376"/>
      <c r="U208" s="199" t="str">
        <f t="shared" si="23"/>
        <v/>
      </c>
      <c r="V208" s="200" t="str">
        <f>IFS(AND(B208&gt;=DATE(2025,1,1), B208&lt;=DATE(2025,1,31)), U208/DDashboard!$C$2, AND(B208&gt;=DATE(2025,2,1), B208&lt;=DATE(2025,2,28)), U208/DDashboard!$C$3, AND(B208&gt;=DATE(2025,3,1), B208&lt;=DATE(2025,3,31)), U208/DDashboard!$C$4, AND(B208&gt;=DATE(2025,4,1), B208&lt;=DATE(2025,4,30)), U208/DDashboard!$C$5,AND(B208&gt;=DATE(2025,5,1), B208&lt;=DATE(2025,5,31)), U208/DDashboard!$C$6,AND(B208&gt;=DATE(2025,6,1), B208&lt;=DATE(2025,6,30)), U208/DDashboard!$C$7,AND(B208&gt;=DATE(2025,7,1), B208&lt;=DATE(2025,7,31)), U208/DDashboard!$C$8,AND(B208&gt;=DATE(2025,8,1), B208&lt;=DATE(2025,8,31)), U208/DDashboard!$C$9,AND(B208&gt;=DATE(2025,9,1), B208&lt;=DATE(2025,9,30)), U208/DDashboard!$C$10,AND(B208&gt;=DATE(2025,10,1), B208&lt;=DATE(2025,10,31)), U208/DDashboard!$C$11,AND(B208&gt;=DATE(2025,11,1), B208&lt;=DATE(2025,11,30)), U208/DDashboard!$C$12, AND(B208&gt;=DATE(2025,12,1), B208&lt;=DATE(2025,12,31)), U208/DDashboard!$C$13, True, "")
</f>
        <v/>
      </c>
      <c r="W208" s="201" t="str">
        <f t="shared" si="3"/>
        <v/>
      </c>
      <c r="X208" s="202"/>
      <c r="Y208" s="203"/>
      <c r="Z208" s="391"/>
      <c r="AA208" s="198"/>
      <c r="AB208" s="222"/>
      <c r="AC208" s="223"/>
      <c r="AD208" s="195"/>
      <c r="AE208" s="222"/>
      <c r="AF208" s="223"/>
      <c r="AG208" s="206" t="str">
        <f t="shared" si="4"/>
        <v/>
      </c>
      <c r="AH208" s="385" t="str">
        <f t="shared" si="5"/>
        <v/>
      </c>
      <c r="AI208" s="207" t="str">
        <f t="shared" si="24"/>
        <v/>
      </c>
      <c r="AJ208" s="367" t="str">
        <f t="shared" si="7"/>
        <v/>
      </c>
      <c r="AK208" s="208" t="str">
        <f t="shared" si="25"/>
        <v/>
      </c>
      <c r="AL208" s="207" t="str">
        <f t="shared" si="22"/>
        <v/>
      </c>
      <c r="AM208" s="209" t="str">
        <f t="shared" si="27"/>
        <v/>
      </c>
      <c r="AN208" s="386" t="str">
        <f t="shared" si="11"/>
        <v/>
      </c>
      <c r="AO208" s="366" t="str">
        <f t="shared" si="12"/>
        <v/>
      </c>
      <c r="AP208" s="210" t="str">
        <f t="shared" si="13"/>
        <v/>
      </c>
      <c r="AQ208" s="196" t="str">
        <f t="shared" si="26"/>
        <v/>
      </c>
      <c r="AR208" s="168" t="str">
        <f>IFS(AND(B208&gt;=DATE(2025,1,1), B208&lt;=DATE(2025,1,31)), AQ208/DDashboard!$C$2, AND(B208&gt;=DATE(2025,2,1), B208&lt;=DATE(2025,2,28)), AQ208/DDashboard!$C$3, AND(B208&gt;=DATE(2025,3,1), B208&lt;=DATE(2025,3,31)), AQ208/DDashboard!$C$4, AND(B208&gt;=DATE(2025,4,1), B208&lt;=DATE(2025,4,30)), AQ208/DDashboard!$C$5,AND(B208&gt;=DATE(2025,5,1), B208&lt;=DATE(2025,5,31)), AQ208/DDashboard!$C$6,AND(B208&gt;=DATE(2025,6,1), B208&lt;=DATE(2025,6,30)), AQ208/DDashboard!$C$7,AND(B208&gt;=DATE(2025,7,1), B208&lt;=DATE(2025,7,31)), AQ208/DDashboard!$C$8,AND(B208&gt;=DATE(2025,8,1), B208&lt;=DATE(2025,8,31)), AQ208/DDashboard!$C$9,AND(B208&gt;=DATE(2025,9,1), B208&lt;=DATE(2025,9,30)), AQ208/DDashboard!$C$10,AND(B208&gt;=DATE(2025,10,1), B208&lt;=DATE(2025,10,31)), AQ208/DDashboard!$C$11,AND(B208&gt;=DATE(2025,11,1), B208&lt;=DATE(2025,11,30)), AQ208/DDashboard!$C$12, AND(B208&gt;=DATE(2025,12,1), B208&lt;=DATE(2025,12,31)), AQ208/DDashboard!$C$13, True, "")
</f>
        <v/>
      </c>
      <c r="AS208" s="200" t="str">
        <f t="array" ref="AS208">IF(ISBLANK(C208), "", SUM($AR$9:AR208)
)</f>
        <v/>
      </c>
      <c r="AT208" s="169" t="b">
        <v>0</v>
      </c>
      <c r="AU208" s="169"/>
      <c r="AV208" s="169"/>
      <c r="AW208" s="169"/>
      <c r="AX208" s="32"/>
    </row>
  </sheetData>
  <conditionalFormatting sqref="AR1:AS208 AJ22">
    <cfRule type="cellIs" dxfId="0" priority="1" operator="lessThanOrEqual">
      <formula>0</formula>
    </cfRule>
  </conditionalFormatting>
  <conditionalFormatting sqref="AR1:AS208 AJ22">
    <cfRule type="cellIs" dxfId="1" priority="2" operator="between">
      <formula>0</formula>
      <formula>1</formula>
    </cfRule>
  </conditionalFormatting>
  <conditionalFormatting sqref="AR1:AS208 AJ22">
    <cfRule type="cellIs" dxfId="2" priority="3" operator="greaterThanOrEqual">
      <formula>1</formula>
    </cfRule>
  </conditionalFormatting>
  <conditionalFormatting sqref="AN2:AN208">
    <cfRule type="notContainsText" dxfId="3" priority="4" operator="notContains" text="Closed">
      <formula>ISERROR(SEARCH(("Closed"),(AN2)))</formula>
    </cfRule>
  </conditionalFormatting>
  <conditionalFormatting sqref="C2:C208">
    <cfRule type="expression" dxfId="4" priority="5">
      <formula>AN2&lt;&gt;"Closed"</formula>
    </cfRule>
  </conditionalFormatting>
  <conditionalFormatting sqref="AJ2:AJ208">
    <cfRule type="cellIs" dxfId="5" priority="6" operator="lessThanOrEqual">
      <formula>0</formula>
    </cfRule>
  </conditionalFormatting>
  <conditionalFormatting sqref="AK2:AK208">
    <cfRule type="cellIs" dxfId="5" priority="7" operator="greaterThan">
      <formula>0</formula>
    </cfRule>
  </conditionalFormatting>
  <dataValidations>
    <dataValidation type="list" allowBlank="1" sqref="M2:M208">
      <formula1>"&lt;1 W,1 W,2 W,3 W,1 M,2 M,3-4 M,5-6 M,6-8 M,8-10 M,1 Y,2 Y,&gt;2 Y"</formula1>
    </dataValidation>
    <dataValidation type="list" allowBlank="1" sqref="L2:L11 L13:L208">
      <formula1>MasterList!$A$2:$A208</formula1>
    </dataValidation>
    <dataValidation type="list" allowBlank="1" showErrorMessage="1" sqref="J2:J208">
      <formula1>"B,S"</formula1>
    </dataValidation>
    <dataValidation type="list" allowBlank="1" showErrorMessage="1" sqref="E2:E4 E6 E8:E9 E18 E20 E33">
      <formula1>"CE,PE"</formula1>
    </dataValidation>
    <dataValidation type="list" allowBlank="1" showErrorMessage="1" sqref="AU2:AU208">
      <formula1>MasterList!$D$2:$D208</formula1>
    </dataValidation>
    <dataValidation type="list" allowBlank="1" showErrorMessage="1" sqref="AV2:AV208">
      <formula1>MasterList!$B$2:$B208</formula1>
    </dataValidation>
    <dataValidation type="list" allowBlank="1" showErrorMessage="1" sqref="AW2:AW208">
      <formula1>MasterList!$C$2:$C208</formula1>
    </dataValidation>
    <dataValidation type="list" allowBlank="1" sqref="L12">
      <formula1>MasterList!$A$2:$A208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75"/>
    <col customWidth="1" min="2" max="2" width="10.88"/>
    <col customWidth="1" min="3" max="3" width="10.75"/>
    <col customWidth="1" min="4" max="4" width="8.0"/>
    <col customWidth="1" min="5" max="5" width="8.25"/>
    <col customWidth="1" min="6" max="6" width="6.38"/>
    <col customWidth="1" min="7" max="7" width="9.5"/>
    <col customWidth="1" min="8" max="8" width="6.5"/>
    <col customWidth="1" min="9" max="9" width="6.75"/>
    <col customWidth="1" min="10" max="10" width="7.13"/>
    <col customWidth="1" min="11" max="11" width="6.13"/>
    <col customWidth="1" min="12" max="12" width="7.0"/>
    <col customWidth="1" min="13" max="13" width="4.5"/>
    <col customWidth="1" min="14" max="14" width="7.75"/>
    <col customWidth="1" min="15" max="15" width="8.5"/>
    <col customWidth="1" min="16" max="16" width="11.88"/>
    <col customWidth="1" min="17" max="17" width="8.5"/>
    <col customWidth="1" min="18" max="18" width="16.5"/>
    <col customWidth="1" min="19" max="19" width="8.63"/>
    <col customWidth="1" min="20" max="20" width="10.88"/>
    <col customWidth="1" min="21" max="21" width="9.0"/>
  </cols>
  <sheetData>
    <row r="1">
      <c r="A1" s="423" t="s">
        <v>126</v>
      </c>
      <c r="B1" s="424" t="s">
        <v>127</v>
      </c>
      <c r="C1" s="425" t="s">
        <v>128</v>
      </c>
      <c r="D1" s="426" t="s">
        <v>129</v>
      </c>
      <c r="E1" s="427" t="s">
        <v>130</v>
      </c>
      <c r="F1" s="427" t="s">
        <v>129</v>
      </c>
      <c r="G1" s="425" t="s">
        <v>131</v>
      </c>
      <c r="H1" s="428" t="s">
        <v>132</v>
      </c>
      <c r="I1" s="429" t="s">
        <v>133</v>
      </c>
      <c r="J1" s="430" t="s">
        <v>134</v>
      </c>
      <c r="K1" s="431" t="s">
        <v>135</v>
      </c>
      <c r="L1" s="429" t="s">
        <v>136</v>
      </c>
      <c r="M1" s="429" t="s">
        <v>137</v>
      </c>
      <c r="N1" s="429" t="s">
        <v>138</v>
      </c>
      <c r="O1" s="430" t="s">
        <v>139</v>
      </c>
      <c r="P1" s="432" t="s">
        <v>140</v>
      </c>
      <c r="Q1" s="432" t="s">
        <v>141</v>
      </c>
      <c r="R1" s="433"/>
      <c r="S1" s="433"/>
      <c r="T1" s="434"/>
      <c r="U1" s="435"/>
      <c r="V1" s="434"/>
    </row>
    <row r="2">
      <c r="A2" s="436" t="s">
        <v>142</v>
      </c>
      <c r="B2" s="437"/>
      <c r="C2" s="438"/>
      <c r="D2" s="437" t="str">
        <f>IF(SUMIFS(DTrades!AQ:AQ, DTrades!B:B, "&gt;= " &amp; DATE(2025,1,1), DTrades!B:B, "&lt;= " &amp; DATE(2025,1,31))=0, "", SUMIFS(DTrades!AQ:AQ, DTrades!B:B, "&gt;= " &amp; DATE(2025,1,1), DTrades!B:B, "&lt;= " &amp; DATE(2025,1,31)))
</f>
        <v/>
      </c>
      <c r="E2" s="439"/>
      <c r="F2" s="440" t="str">
        <f t="shared" ref="F2:F13" si="1">(D2-E2)/C2</f>
        <v>#DIV/0!</v>
      </c>
      <c r="G2" s="439">
        <f t="shared" ref="G2:G13" si="2">C2+D2-E2</f>
        <v>0</v>
      </c>
      <c r="H2" s="441" t="str">
        <f>(G13-C2)/C2</f>
        <v>#DIV/0!</v>
      </c>
      <c r="I2" s="442">
        <f>COUNTIFS(DTrades!B:B, "&gt;=01-01-2025", DTrades!B:B, "&lt;=31-01-2025")
</f>
        <v>0</v>
      </c>
      <c r="J2" s="443" t="str">
        <f>IFERROR(COUNTIFS(DTrades!B:B, "&gt;="&amp;DATE(2025,1,1), DTrades!B:B, "&lt;="&amp;DATE(2025,1,31), DTrades!AR:AR, "&gt;0") / COUNTIFS(DTrades!B:B, "&gt;="&amp;DATE(2025,1,1), DTrades!B:B, "&lt;="&amp;DATE(2025,1,31)),"")</f>
        <v/>
      </c>
      <c r="K2" s="444" t="str">
        <f t="array" ref="K2">IFERROR(AVERAGEIFs(DTrades!AR:AR,month(DTrades!B:B),1,DTrades!AR:AR,"&gt;0"),"")</f>
        <v/>
      </c>
      <c r="L2" s="445" t="str">
        <f t="array" ref="L2">IFERROR(AVERAGEIFs(DTrades!AR:AR,month(DTrades!B:B),1,DTrades!AR:AR,"&lt;0"),"")</f>
        <v/>
      </c>
      <c r="M2" s="446" t="str">
        <f t="array" ref="M2">IFERROR(AVERAGEIF(TEXT(DTrades!B:B, "MMMM"), "January", DTrades!AL:AL),"")
</f>
        <v/>
      </c>
      <c r="N2" s="447">
        <f t="array" ref="N2">IF(ISNUMBER(I2),MAXIFS(DTrades!AR:AR,month(DTrades!B:B),1), "")</f>
        <v>0</v>
      </c>
      <c r="O2" s="448">
        <f t="array" ref="O2">IF(ISNUMBER(I2),MINIFS(DTrades!AR:AR,month(DTrades!B:B),1), "")</f>
        <v>0</v>
      </c>
      <c r="P2" s="449" t="str">
        <f t="array" ref="P2">IFERROR(AVERAGEIFs(DTrades!AM:AM,month(DTrades!B:B),1,DTrades!AM:AM,"&gt;0"),"")</f>
        <v/>
      </c>
      <c r="Q2" s="450" t="str">
        <f>IF(SUMIFS(DTrades!AQ:AQ, DTrades!B:B, "&gt;= " &amp; DATE(2024,1,1), DTrades!B:B, "&lt;= " &amp; DATE(2024,1,31), DTrades!D:D, "&lt;&gt;")=0, "", SUMIFS(DTrades!AQ:AQ, DTrades!B:B, "&gt;= " &amp; DATE(2024,1,1), DTrades!B:B, "&lt;= " &amp; DATE(2024,1,31), DTrades!D:D, "&lt;&gt;"))
</f>
        <v/>
      </c>
      <c r="R2" s="451" t="s">
        <v>143</v>
      </c>
      <c r="S2" s="452">
        <f>SUM(I2:I13)</f>
        <v>48</v>
      </c>
      <c r="T2" s="434"/>
      <c r="U2" s="433"/>
      <c r="V2" s="433"/>
    </row>
    <row r="3">
      <c r="A3" s="453" t="s">
        <v>144</v>
      </c>
      <c r="B3" s="454"/>
      <c r="C3" s="455"/>
      <c r="D3" s="454" t="str">
        <f>IF(SUMIFS(DTrades!AQ:AQ, DTrades!B:B, "&gt;= " &amp; DATE(2025,2,1), DTrades!B:B, "&lt;= " &amp; DATE(2025,2,29))=0, "", SUMIFS(DTrades!AQ:AQ, DTrades!B:B, "&gt;= " &amp; DATE(2025,2,1), DTrades!B:B, "&lt;= " &amp; DATE(2025,2,28)))
</f>
        <v/>
      </c>
      <c r="E3" s="455"/>
      <c r="F3" s="456" t="str">
        <f t="shared" si="1"/>
        <v>#DIV/0!</v>
      </c>
      <c r="G3" s="455">
        <f t="shared" si="2"/>
        <v>0</v>
      </c>
      <c r="H3" s="457"/>
      <c r="I3" s="458">
        <f>COUNTIFS(DTrades!B:B, "&gt;=01-02-2025", DTrades!B:B, "&lt;=28-02-2025")
</f>
        <v>0</v>
      </c>
      <c r="J3" s="459" t="str">
        <f>IFERROR(COUNTIFS(DTrades!B:B, "&gt;="&amp;DATE(2025,2,1), DTrades!B:B, "&lt;="&amp;DATE(2025,2,28), DTrades!AR:AR, "&gt;0") / COUNTIFS(DTrades!B:B, "&gt;="&amp;DATE(2025,2,1), DTrades!B:B, "&lt;="&amp;DATE(2025,2,28)),"")</f>
        <v/>
      </c>
      <c r="K3" s="460" t="str">
        <f t="array" ref="K3">IFERROR(AVERAGEIFs(DTrades!AR:AR,month(DTrades!B:B),2,DTrades!AR:AR,"&gt;0"),"")</f>
        <v/>
      </c>
      <c r="L3" s="461" t="str">
        <f t="array" ref="L3">IFERROR(AVERAGEIFs(DTrades!AR:AR,month(DTrades!B:B),2,DTrades!AR:AR,"&lt;0"),"")</f>
        <v/>
      </c>
      <c r="M3" s="462" t="str">
        <f t="array" ref="M3">IFERROR(AVERAGEIF(TEXT(DTrades!B:B, "MMMM"), "February", DTrades!AL:AL), "")
</f>
        <v/>
      </c>
      <c r="N3" s="463">
        <f t="array" ref="N3">IF(ISNUMBER(I3),MAXIFS(DTrades!AR:AR,month(DTrades!B:B),2), "")</f>
        <v>0</v>
      </c>
      <c r="O3" s="464">
        <f t="array" ref="O3">IF(ISNUMBER(I3),MINIFS(DTrades!AR:AR,month(DTrades!B:B),2), "")</f>
        <v>0</v>
      </c>
      <c r="P3" s="449" t="str">
        <f t="array" ref="P3">IFERROR(AVERAGEIFs(DTrades!AM:AM,month(DTrades!B:B),2,DTrades!AM:AM,"&gt;0"),"")</f>
        <v/>
      </c>
      <c r="Q3" s="450" t="str">
        <f>IF(SUMIFS(DTrades!AQ:AQ, DTrades!B:B, "&gt;= " &amp; DATE(2024,2,1), DTrades!B:B, "&lt;= " &amp; DATE(2024,2,29), DTrades!D:D, "&lt;&gt;")=0, "", SUMIFS(DTrades!AQ:AQ, DTrades!B:B, "&gt;= " &amp; DATE(2024,2,1), DTrades!B:B, "&lt;= " &amp; DATE(2024,2,29), DTrades!D:D, "&lt;&gt;"))
</f>
        <v/>
      </c>
      <c r="R3" s="465" t="s">
        <v>145</v>
      </c>
      <c r="S3" s="466">
        <f>COUNTIF(DTrades!AR:AR, "&gt;0")/S2</f>
        <v>0.5</v>
      </c>
      <c r="T3" s="434"/>
      <c r="U3" s="433"/>
      <c r="V3" s="433"/>
    </row>
    <row r="4">
      <c r="A4" s="467" t="s">
        <v>146</v>
      </c>
      <c r="B4" s="468"/>
      <c r="C4" s="469"/>
      <c r="D4" s="468" t="str">
        <f>IF(SUMIFS(DTrades!AQ:AQ, DTrades!B:B, "&gt;= " &amp; DATE(2025,3,1), DTrades!B:B, "&lt;= " &amp; DATE(2025,3,31))=0, "", SUMIFS(DTrades!AQ:AQ, DTrades!B:B, "&gt;= " &amp; DATE(2025,3,1), DTrades!B:B, "&lt;= " &amp; DATE(2025,3,31)))
</f>
        <v/>
      </c>
      <c r="E4" s="469"/>
      <c r="F4" s="456" t="str">
        <f t="shared" si="1"/>
        <v>#DIV/0!</v>
      </c>
      <c r="G4" s="469">
        <f t="shared" si="2"/>
        <v>0</v>
      </c>
      <c r="H4" s="457"/>
      <c r="I4" s="442">
        <f>COUNTIFS(DTrades!B:B, "&gt;=01-03-2025", DTrades!B:B, "&lt;=31-03-2025")
</f>
        <v>0</v>
      </c>
      <c r="J4" s="443" t="str">
        <f>IFERROR(COUNTIFS(DTrades!B:B, "&gt;="&amp;DATE(2025,3,1), DTrades!B:B, "&lt;="&amp;DATE(2025,3,31), DTrades!AR:AR, "&gt;0") / COUNTIFS(DTrades!B:B, "&gt;="&amp;DATE(2025,3,1), DTrades!B:B, "&lt;="&amp;DATE(2025,3,31)),"")</f>
        <v/>
      </c>
      <c r="K4" s="444" t="str">
        <f t="array" ref="K4">IFERROR(AVERAGEIFs(DTrades!AR:AR,month(DTrades!B:B),3,DTrades!AR:AR,"&gt;0"),"")</f>
        <v/>
      </c>
      <c r="L4" s="445" t="str">
        <f t="array" ref="L4">IFERROR(AVERAGEIFs(DTrades!AR:AR,month(DTrades!B:B),3,DTrades!AR:AR,"&lt;0"),"")</f>
        <v/>
      </c>
      <c r="M4" s="446" t="str">
        <f t="array" ref="M4">IFERROR(AVERAGEIF(TEXT(DTrades!B:B, "MMMM"), "March", DTrades!AL:AL),"")
</f>
        <v/>
      </c>
      <c r="N4" s="447">
        <f t="array" ref="N4">IF(ISNUMBER(I4),MAXIFS(DTrades!AR:AR,month(DTrades!B:B),3), "")</f>
        <v>0</v>
      </c>
      <c r="O4" s="448">
        <f t="array" ref="O4">IF(ISNUMBER(I4),MINIFS(DTrades!AR:AR,month(DTrades!B:B),3), "")</f>
        <v>0</v>
      </c>
      <c r="P4" s="449" t="str">
        <f t="array" ref="P4">IFERROR(AVERAGEIFs(DTrades!AM:AM,month(DTrades!B:B),3,DTrades!AM:AM,"&gt;0"),"")</f>
        <v/>
      </c>
      <c r="Q4" s="450" t="str">
        <f>IF(SUMIFS(DTrades!AQ:AQ, DTrades!B:B, "&gt;= " &amp; DATE(2024,3,1), DTrades!B:B, "&lt;= " &amp; DATE(2024,3,31), DTrades!D:D, "&lt;&gt;")=0, "", SUMIFS(DTrades!AQ:AQ, DTrades!B:B, "&gt;= " &amp; DATE(2024,3,1), DTrades!B:B, "&lt;= " &amp; DATE(2024,3,31), DTrades!D:D, "&lt;&gt;"))
</f>
        <v/>
      </c>
      <c r="R4" s="470" t="s">
        <v>147</v>
      </c>
      <c r="S4" s="471">
        <f>SUMIF(DTrades!AJ:AJ,"&gt;0")/COUNTIF(DTrades!AJ:AJ,"&gt;0")</f>
        <v>0.0196661618</v>
      </c>
      <c r="T4" s="434"/>
      <c r="U4" s="433"/>
      <c r="V4" s="433"/>
    </row>
    <row r="5">
      <c r="A5" s="453" t="s">
        <v>148</v>
      </c>
      <c r="B5" s="454"/>
      <c r="C5" s="455"/>
      <c r="D5" s="454" t="str">
        <f>IF(SUMIFS(DTrades!AQ:AQ, DTrades!B:B, "&gt;= " &amp; DATE(2025,4,1), DTrades!B:B, "&lt;= " &amp; DATE(2025,4,30))=0, "", SUMIFS(DTrades!AQ:AQ, DTrades!B:B, "&gt;= " &amp; DATE(2025,4,1), DTrades!B:B, "&lt;= " &amp; DATE(2025,4,30)))
</f>
        <v/>
      </c>
      <c r="E5" s="472"/>
      <c r="F5" s="456" t="str">
        <f t="shared" si="1"/>
        <v>#DIV/0!</v>
      </c>
      <c r="G5" s="455">
        <f t="shared" si="2"/>
        <v>0</v>
      </c>
      <c r="H5" s="457"/>
      <c r="I5" s="458">
        <f>COUNTIFS(DTrades!B:B, "&gt;=01-04-2025", DTrades!B:B, "&lt;=30-04-2025")
</f>
        <v>0</v>
      </c>
      <c r="J5" s="459" t="str">
        <f>IFERROR(COUNTIFS(DTrades!B:B, "&gt;="&amp;DATE(2025,4,1), DTrades!B:B, "&lt;="&amp;DATE(2025,4,30), DTrades!AR:AR, "&gt;0") / COUNTIFS(DTrades!B:B, "&gt;="&amp;DATE(2025,4,1), DTrades!B:B, "&lt;="&amp;DATE(2025,4,30)),"")
</f>
        <v/>
      </c>
      <c r="K5" s="460" t="str">
        <f t="array" ref="K5">IFERROR(AVERAGEIFs(DTrades!AR:AR,month(DTrades!B:B),4,DTrades!AR:AR,"&gt;0"),"")</f>
        <v/>
      </c>
      <c r="L5" s="461" t="str">
        <f t="array" ref="L5">IFERROR(AVERAGEIFs(DTrades!AR:AR,month(DTrades!B:B),4,DTrades!AR:AR,"&lt;0"),"")</f>
        <v/>
      </c>
      <c r="M5" s="462" t="str">
        <f t="array" ref="M5">IFERROR(AVERAGEIF(TEXT(DTrades!B:B, "MMMM"), "April", DTrades!AL:AL),"")
</f>
        <v/>
      </c>
      <c r="N5" s="463">
        <f t="array" ref="N5">IF(ISNUMBER(I5),MAXIFS(DTrades!AR:AR,month(DTrades!B:B),4), "")</f>
        <v>0</v>
      </c>
      <c r="O5" s="464">
        <f t="array" ref="O5">IF(ISNUMBER(I5),MINIFS(DTrades!AR:AR,month(DTrades!B:B),4), "")</f>
        <v>0</v>
      </c>
      <c r="P5" s="449" t="str">
        <f t="array" ref="P5">IFERROR(AVERAGEIFs(DTrades!AM:AM,month(DTrades!B:B),4,DTrades!AM:AM,"&gt;0"),"")</f>
        <v/>
      </c>
      <c r="Q5" s="450" t="str">
        <f>IF(SUMIFS(DTrades!AQ:AQ, DTrades!B:B, "&gt;= " &amp; DATE(2024,4,1), DTrades!B:B, "&lt;= " &amp; DATE(2024,4,30), DTrades!D:D, "&lt;&gt;")=0, "", SUMIFS(DTrades!AQ:AQ, DTrades!B:B, "&gt;= " &amp; DATE(2024,4,1), DTrades!B:B, "&lt;= " &amp; DATE(2024,4,30), DTrades!D:D, "&lt;&gt;"))
</f>
        <v/>
      </c>
      <c r="R5" s="465" t="s">
        <v>149</v>
      </c>
      <c r="S5" s="466">
        <f>SUMIF(DTrades!AJ:AJ,"&lt;0")/COUNTIF(DTrades!AJ:AJ,"&lt;0")</f>
        <v>-0.07988830644</v>
      </c>
      <c r="T5" s="434"/>
      <c r="U5" s="433"/>
      <c r="V5" s="433"/>
    </row>
    <row r="6">
      <c r="A6" s="467" t="s">
        <v>150</v>
      </c>
      <c r="B6" s="468"/>
      <c r="C6" s="469"/>
      <c r="D6" s="468" t="str">
        <f>IF(SUMIFS(DTrades!AQ:AQ, DTrades!B:B, "&gt;= " &amp; DATE(2025,5,1), DTrades!B:B, "&lt;= " &amp; DATE(2025,5,31))=0, "", SUMIFS(DTrades!AQ:AQ, DTrades!B:B, "&gt;= " &amp; DATE(2025,5,1), DTrades!B:B, "&lt;= " &amp; DATE(2025,5,31)))
</f>
        <v/>
      </c>
      <c r="E6" s="473"/>
      <c r="F6" s="456" t="str">
        <f t="shared" si="1"/>
        <v>#DIV/0!</v>
      </c>
      <c r="G6" s="469">
        <f t="shared" si="2"/>
        <v>0</v>
      </c>
      <c r="H6" s="457"/>
      <c r="I6" s="442">
        <f>COUNTIFS(DTrades!B:B, "&gt;=01-05-2025", DTrades!B:B, "&lt;=31-05-2025")
</f>
        <v>0</v>
      </c>
      <c r="J6" s="443" t="str">
        <f>IFERROR(COUNTIFS(DTrades!B:B, "&gt;="&amp;DATE(2025,5,1), DTrades!B:B, "&lt;="&amp;DATE(2025,5,31), DTrades!AR:AR, "&gt;0") / COUNTIFS(DTrades!B:B, "&gt;="&amp;DATE(2025,5,1), DTrades!B:B, "&lt;="&amp;DATE(2025,5,31)),"")
</f>
        <v/>
      </c>
      <c r="K6" s="444" t="str">
        <f t="array" ref="K6">IFERROR(AVERAGEIFs(DTrades!AR:AR,month(DTrades!B:B),5,DTrades!AR:AR,"&gt;0"),"")</f>
        <v/>
      </c>
      <c r="L6" s="445" t="str">
        <f t="array" ref="L6">IFERROR(AVERAGEIFs(DTrades!AR:AR,month(DTrades!B:B),5,DTrades!AR:AR,"&lt;0"),"")</f>
        <v/>
      </c>
      <c r="M6" s="446" t="str">
        <f t="array" ref="M6">IFERROR(AVERAGEIF(TEXT(DTrades!B:B, "MMMM"), "May", DTrades!AL:AL),"")
</f>
        <v/>
      </c>
      <c r="N6" s="447">
        <f t="array" ref="N6">IF(ISNUMBER(I6),MAXIFS(DTrades!AR:AR,month(DTrades!B:B),5), "")</f>
        <v>0</v>
      </c>
      <c r="O6" s="448">
        <f t="array" ref="O6">IF(ISNUMBER(I6),MINIFS(DTrades!AR:AR,month(DTrades!B:B),5), "")</f>
        <v>0</v>
      </c>
      <c r="P6" s="449" t="str">
        <f t="array" ref="P6">IFERROR(AVERAGEIFs(DTrades!AM:AM,month(DTrades!B:B),5,DTrades!AM:AM,"&gt;0"),"")</f>
        <v/>
      </c>
      <c r="Q6" s="450" t="str">
        <f>IF(SUMIFS(DTrades!AQ:AQ, DTrades!B:B, "&gt;= " &amp; DATE(2024,5,1), DTrades!B:B, "&lt;= " &amp; DATE(2024,5,31), DTrades!D:D, "&lt;&gt;")=0, "", SUMIFS(DTrades!AQ:AQ, DTrades!B:B, "&gt;= " &amp; DATE(2024,5,1), DTrades!B:B, "&lt;= " &amp; DATE(2024,5,31), DTrades!D:D, "&lt;&gt;"))
</f>
        <v/>
      </c>
      <c r="R6" s="474" t="s">
        <v>151</v>
      </c>
      <c r="S6" s="475">
        <f>AVERAGE(DTrades!V:V)</f>
        <v>0.1326775977</v>
      </c>
      <c r="T6" s="434"/>
      <c r="U6" s="433"/>
      <c r="V6" s="433"/>
    </row>
    <row r="7">
      <c r="A7" s="453" t="s">
        <v>152</v>
      </c>
      <c r="B7" s="454"/>
      <c r="C7" s="455"/>
      <c r="D7" s="454" t="str">
        <f>IF(SUMIFS(DTrades!AQ:AQ, DTrades!B:B, "&gt;= " &amp; DATE(2025,6,1), DTrades!B:B, "&lt;= " &amp; DATE(2025,6,30))=0, "", SUMIFS(DTrades!AQ:AQ, DTrades!B:B, "&gt;= " &amp; DATE(2025,6,1), DTrades!B:B, "&lt;= " &amp; DATE(2025,6,30)))
</f>
        <v/>
      </c>
      <c r="E7" s="455"/>
      <c r="F7" s="456" t="str">
        <f t="shared" si="1"/>
        <v>#DIV/0!</v>
      </c>
      <c r="G7" s="455">
        <f t="shared" si="2"/>
        <v>0</v>
      </c>
      <c r="H7" s="457"/>
      <c r="I7" s="458">
        <f>COUNTIFS(DTrades!B:B, "&gt;=01-06-2025", DTrades!B:B, "&lt;=30-06-2025")
</f>
        <v>0</v>
      </c>
      <c r="J7" s="459" t="str">
        <f>IFERROR(COUNTIFS(DTrades!B:B, "&gt;="&amp;DATE(2025,6,1), DTrades!B:B, "&lt;="&amp;DATE(2025,6,30), DTrades!AR:AR, "&gt;0") / COUNTIFS(DTrades!B:B, "&gt;="&amp;DATE(2025,6,1), DTrades!B:B, "&lt;="&amp;DATE(2025,6,30)),"")</f>
        <v/>
      </c>
      <c r="K7" s="460" t="str">
        <f t="array" ref="K7">IFERROR(AVERAGEIFs(DTrades!AR:AR,month(DTrades!B:B),6,DTrades!AR:AR,"&gt;0"),"")</f>
        <v/>
      </c>
      <c r="L7" s="461" t="str">
        <f t="array" ref="L7">IFERROR(AVERAGEIFs(DTrades!AR:AR,month(DTrades!B:B),6,DTrades!AR:AR,"&lt;0"),"")</f>
        <v/>
      </c>
      <c r="M7" s="462" t="str">
        <f t="array" ref="M7">IFERROR(AVERAGEIF(TEXT(DTrades!B:B, "MMMM"), "June", DTrades!AL:AL),"")
</f>
        <v/>
      </c>
      <c r="N7" s="463">
        <f t="array" ref="N7">IF(ISNUMBER(I7),MAXIFS(DTrades!AR:AR,month(DTrades!B:B),6), "")</f>
        <v>0</v>
      </c>
      <c r="O7" s="464">
        <f t="array" ref="O7">IF(ISNUMBER(I7),MINIFS(DTrades!AR:AR,month(DTrades!B:B),6), "")</f>
        <v>0</v>
      </c>
      <c r="P7" s="449" t="str">
        <f t="array" ref="P7">IFERROR(AVERAGEIFs(DTrades!AM:AM,month(DTrades!B:B),6,DTrades!AM:AM,"&gt;0"),"")</f>
        <v/>
      </c>
      <c r="Q7" s="450" t="str">
        <f>IF(SUMIFS(DTrades!AQ:AQ, DTrades!B:B, "&gt;= " &amp; DATE(2024,6,1), DTrades!B:B, "&lt;= " &amp; DATE(2024,6,30), DTrades!D:D, "&lt;&gt;")=0, "", SUMIFS(DTrades!AQ:AQ, DTrades!B:B, "&gt;= " &amp; DATE(2024,6,1), DTrades!B:B, "&lt;= " &amp; DATE(2024,6,30), DTrades!D:D, "&lt;&gt;"))
</f>
        <v/>
      </c>
      <c r="R7" s="476" t="s">
        <v>153</v>
      </c>
      <c r="S7" s="477">
        <f>AVERAGE(DTrades!AM:AM)</f>
        <v>43.625</v>
      </c>
      <c r="T7" s="434"/>
      <c r="U7" s="433"/>
      <c r="V7" s="433"/>
    </row>
    <row r="8">
      <c r="A8" s="467" t="s">
        <v>154</v>
      </c>
      <c r="B8" s="468"/>
      <c r="C8" s="473">
        <v>1000000.0</v>
      </c>
      <c r="D8" s="468">
        <f>IF(SUMIFS(DTrades!AQ:AQ, DTrades!B:B, "&gt;= " &amp; DATE(2025,7,1), DTrades!B:B, "&lt;= " &amp; DATE(2025,7,31))=0, "", SUMIFS(DTrades!AQ:AQ, DTrades!B:B, "&gt;= " &amp; DATE(2025,7,1), DTrades!B:B, "&lt;= " &amp; DATE(2025,7,31)))
</f>
        <v>-164641.22</v>
      </c>
      <c r="E8" s="473">
        <f t="shared" ref="E8:E13" si="3">RANDBETWEEN(100,600)</f>
        <v>510</v>
      </c>
      <c r="F8" s="456">
        <f t="shared" si="1"/>
        <v>-0.16515122</v>
      </c>
      <c r="G8" s="469">
        <f t="shared" si="2"/>
        <v>834848.78</v>
      </c>
      <c r="H8" s="457"/>
      <c r="I8" s="442">
        <f>COUNTIFS(DTrades!B:B, "&gt;=01-07-2025", DTrades!B:B, "&lt;=31-07-2025")
</f>
        <v>37</v>
      </c>
      <c r="J8" s="443">
        <f>IFERROR(COUNTIFS(DTrades!B:B, "&gt;="&amp;DATE(2025,7,1), DTrades!B:B, "&lt;="&amp;DATE(2025,7,31), DTrades!AR:AR, "&gt;0") / COUNTIFS(DTrades!B:B, "&gt;="&amp;DATE(2025,7,1), DTrades!B:B, "&lt;="&amp;DATE(2025,7,31)),"")
</f>
        <v>0.5405405405</v>
      </c>
      <c r="K8" s="444">
        <f t="array" ref="K8">IFERROR(AVERAGEIFs(DTrades!AR:AR,month(DTrades!B:B),7,DTrades!AR:AR,"&gt;0"),"")</f>
        <v>0.001599064</v>
      </c>
      <c r="L8" s="445">
        <f t="array" ref="L8">IFERROR(AVERAGEIFs(DTrades!AR:AR,month(DTrades!B:B),7,DTrades!AR:AR,"&lt;0"),"")</f>
        <v>-0.01156602941</v>
      </c>
      <c r="M8" s="446">
        <f t="array" ref="M8">IFERROR(AVERAGEIF(TEXT(DTrades!B:B, "MMMM"), "July", DTrades!AL:AL),"")
</f>
        <v>0.3402072357</v>
      </c>
      <c r="N8" s="447">
        <f t="array" ref="N8">IF(ISNUMBER(I8),MAXIFS(DTrades!AR:AR,month(DTrades!B:B),7), "")</f>
        <v>0.00585</v>
      </c>
      <c r="O8" s="448">
        <f t="array" ref="O8">IF(ISNUMBER(I8),MINIFS(DTrades!AR:AR,month(DTrades!B:B),7), "")</f>
        <v>-0.1464</v>
      </c>
      <c r="P8" s="449">
        <f t="array" ref="P8">IFERROR(AVERAGEIFs(DTrades!AM:AM,month(DTrades!B:B),7,DTrades!AM:AM,"&gt;0"),"")</f>
        <v>57.06666667</v>
      </c>
      <c r="Q8" s="450" t="str">
        <f>IF(SUMIFS(DTrades!AQ:AQ, DTrades!B:B, "&gt;= " &amp; DATE(2024,7,1), DTrades!B:B, "&lt;= " &amp; DATE(2024,7,31), DTrades!D:D, "&lt;&gt;")=0, "", SUMIFS(DTrades!AQ:AQ, DTrades!B:B, "&gt;= " &amp; DATE(2024,7,1), DTrades!B:B, "&lt;= " &amp; DATE(2024,7,31), DTrades!D:D, "&lt;&gt;"))
</f>
        <v/>
      </c>
      <c r="R8" s="478" t="s">
        <v>155</v>
      </c>
      <c r="S8" s="479">
        <f>COUNTIF(DTrades!AT:AT, TRUE)/S2</f>
        <v>0.2916666667</v>
      </c>
      <c r="T8" s="434"/>
      <c r="U8" s="433"/>
      <c r="V8" s="433"/>
    </row>
    <row r="9">
      <c r="A9" s="453" t="s">
        <v>156</v>
      </c>
      <c r="B9" s="454"/>
      <c r="C9" s="455">
        <f t="shared" ref="C9:C13" si="4">IF(ISBLANK(D8),C8,G8)+B9</f>
        <v>834848.78</v>
      </c>
      <c r="D9" s="454">
        <f>IF(SUMIFS(DTrades!AQ:AQ, DTrades!B:B, "&gt;= " &amp; DATE(2025,8,1), DTrades!B:B, "&lt;= " &amp; DATE(2025,8,31))=0, "", SUMIFS(DTrades!AQ:AQ, DTrades!B:B, "&gt;= " &amp; DATE(2025,8,1), DTrades!B:B, "&lt;= " &amp; DATE(2025,8,31)))
</f>
        <v>-91744.5</v>
      </c>
      <c r="E9" s="472">
        <f t="shared" si="3"/>
        <v>525</v>
      </c>
      <c r="F9" s="456">
        <f t="shared" si="1"/>
        <v>-0.110522411</v>
      </c>
      <c r="G9" s="455">
        <f t="shared" si="2"/>
        <v>742579.28</v>
      </c>
      <c r="H9" s="457"/>
      <c r="I9" s="458">
        <f>COUNTIFS(DTrades!B:B, "&gt;=01-08-2025", DTrades!B:B, "&lt;=31-08-2025")
</f>
        <v>11</v>
      </c>
      <c r="J9" s="459">
        <f>IFERROR(COUNTIFS(DTrades!B:B, "&gt;="&amp;DATE(2025,8,1), DTrades!B:B, "&lt;="&amp;DATE(2025,8,31), DTrades!AR:AR, "&gt;0") / COUNTIFS(DTrades!B:B, "&gt;="&amp;DATE(2025,8,1), DTrades!B:B, "&lt;="&amp;DATE(2025,8,31)),"")</f>
        <v>0.3636363636</v>
      </c>
      <c r="K9" s="460">
        <f t="array" ref="K9">IFERROR(AVERAGEIFs(DTrades!AR:AR,month(DTrades!B:B),8,DTrades!AR:AR,"&gt;0"),"")</f>
        <v>0.001467331605</v>
      </c>
      <c r="L9" s="461">
        <f t="array" ref="L9">IFERROR(AVERAGEIFs(DTrades!AR:AR,month(DTrades!B:B),8,DTrades!AR:AR,"&lt;0"),"")</f>
        <v>-0.01929381351</v>
      </c>
      <c r="M9" s="462">
        <f t="array" ref="M9">IFERROR(AVERAGEIF(TEXT(DTrades!B:B, "MMMM"), "August", DTrades!AL:AL),"")
</f>
        <v>-2.85383729</v>
      </c>
      <c r="N9" s="463">
        <f t="array" ref="N9">IF(ISNUMBER(I9),MAXIFS(DTrades!AR:AR,month(DTrades!B:B),8), "")</f>
        <v>0.002695098866</v>
      </c>
      <c r="O9" s="464">
        <f t="array" ref="O9">IF(ISNUMBER(I9),MINIFS(DTrades!AR:AR,month(DTrades!B:B),8), "")</f>
        <v>-0.06827583793</v>
      </c>
      <c r="P9" s="449">
        <f t="array" ref="P9">IFERROR(AVERAGEIFs(DTrades!AM:AM,month(DTrades!B:B),8,DTrades!AM:AM,"&gt;0"),"")</f>
        <v>156.5</v>
      </c>
      <c r="Q9" s="450" t="str">
        <f>IF(SUMIFS(DTrades!AQ:AQ, DTrades!B:B, "&gt;= " &amp; DATE(2024,8,1), DTrades!B:B, "&lt;= " &amp; DATE(2024,8,31), DTrades!D:D, "&lt;&gt;")=0, "", SUMIFS(DTrades!AQ:AQ, DTrades!B:B, "&gt;= " &amp; DATE(2024,8,1), DTrades!B:B, "&lt;= " &amp; DATE(2024,8,31), DTrades!D:D, "&lt;&gt;"))
</f>
        <v/>
      </c>
      <c r="R9" s="434"/>
      <c r="S9" s="434"/>
      <c r="T9" s="480" t="s">
        <v>157</v>
      </c>
      <c r="U9" s="480" t="s">
        <v>1</v>
      </c>
      <c r="V9" s="433"/>
    </row>
    <row r="10">
      <c r="A10" s="467" t="s">
        <v>158</v>
      </c>
      <c r="B10" s="468"/>
      <c r="C10" s="469">
        <f t="shared" si="4"/>
        <v>742579.28</v>
      </c>
      <c r="D10" s="468" t="str">
        <f>IF(SUMIFS(DTrades!AQ:AQ, DTrades!B:B, "&gt;= " &amp; DATE(2025,9,1), DTrades!B:B, "&lt;= " &amp; DATE(2025,9,30))=0, "", SUMIFS(DTrades!AQ:AQ, DTrades!B:B, "&gt;= " &amp; DATE(2025,9,1), DTrades!B:B, "&lt;= " &amp; DATE(2025,9,30)))
</f>
        <v/>
      </c>
      <c r="E10" s="473">
        <f t="shared" si="3"/>
        <v>271</v>
      </c>
      <c r="F10" s="456">
        <f t="shared" si="1"/>
        <v>-0.0003649441983</v>
      </c>
      <c r="G10" s="469">
        <f t="shared" si="2"/>
        <v>742308.28</v>
      </c>
      <c r="H10" s="457"/>
      <c r="I10" s="442">
        <f>COUNTIFS(DTrades!B:B, "&gt;=01-09-2025", DTrades!B:B, "&lt;=30-09-2025")
</f>
        <v>0</v>
      </c>
      <c r="J10" s="443" t="str">
        <f>IFERROR(COUNTIFS(DTrades!B:B, "&gt;="&amp;DATE(2025,9,1), DTrades!B:B, "&lt;="&amp;DATE(2025,9,30), DTrades!AR:AR, "&gt;0") / COUNTIFS(DTrades!B:B, "&gt;="&amp;DATE(2025,9,1), DTrades!B:B, "&lt;="&amp;DATE(2025,9,31)),"")</f>
        <v/>
      </c>
      <c r="K10" s="444" t="str">
        <f t="array" ref="K10">IFERROR(AVERAGEIFs(DTrades!AR:AR,month(DTrades!B:B),9,DTrades!AR:AR,"&gt;0"),"")</f>
        <v/>
      </c>
      <c r="L10" s="445" t="str">
        <f t="array" ref="L10">IFERROR(AVERAGEIFs(DTrades!AR:AR,month(DTrades!B:B),9,DTrades!AR:AR,"&lt;0"),"")</f>
        <v/>
      </c>
      <c r="M10" s="446" t="str">
        <f t="array" ref="M10">IFERROR(AVERAGEIF(TEXT(DTrades!B:B, "MMMM"), "September", DTrades!AL:AL),"")
</f>
        <v/>
      </c>
      <c r="N10" s="447">
        <f t="array" ref="N10">IF(ISNUMBER(I10),MAXIFS(DTrades!AR:AR,month(DTrades!B:B),9), "")</f>
        <v>0</v>
      </c>
      <c r="O10" s="448">
        <f t="array" ref="O10">IF(ISNUMBER(I10),MINIFS(DTrades!AR:AR,month(DTrades!B:B),9), "")</f>
        <v>0</v>
      </c>
      <c r="P10" s="449" t="str">
        <f t="array" ref="P10">IFERROR(AVERAGEIFs(DTrades!AM:AM,month(DTrades!B:B),9,DTrades!AM:AM,"&gt;0"),"")</f>
        <v/>
      </c>
      <c r="Q10" s="450" t="str">
        <f>IF(SUMIFS(DTrades!AQ:AQ, DTrades!B:B, "&gt;= " &amp; DATE(2024,9,1), DTrades!B:B, "&lt;= " &amp; DATE(2024,9,30), DTrades!D:D, "&lt;&gt;")=0, "", SUMIFS(DTrades!AQ:AQ, DTrades!B:B, "&gt;= " &amp; DATE(2024,9,1), DTrades!B:B, "&lt;= " &amp; DATE(2024,9,30), DTrades!D:D, "&lt;&gt;"))
</f>
        <v/>
      </c>
      <c r="R10" s="481" t="s">
        <v>159</v>
      </c>
      <c r="S10" s="482">
        <f>MAX(DTrades!AJ:AJ)</f>
        <v>0.08005427408</v>
      </c>
      <c r="T10" s="434" t="str">
        <f t="array" ref="T10">INDEX(DTrades!C:C, MATCH(MAX(DTrades!AJ:AJ), DTrades!AJ:AJ, 0))</f>
        <v>TRANSRAILL</v>
      </c>
      <c r="U10" s="483">
        <f t="array" ref="U10">INDEX(DTrades!B:B, MATCH(MAX(DTrades!AJ:AJ), DTrades!AJ:AJ, 0))</f>
        <v>45869</v>
      </c>
      <c r="V10" s="433"/>
    </row>
    <row r="11">
      <c r="A11" s="453" t="s">
        <v>160</v>
      </c>
      <c r="B11" s="454"/>
      <c r="C11" s="455">
        <f t="shared" si="4"/>
        <v>742308.28</v>
      </c>
      <c r="D11" s="454" t="str">
        <f>IF(SUMIFS(DTrades!AQ:AQ, DTrades!B:B, "&gt;= " &amp; DATE(2025,10,1), DTrades!B:B, "&lt;= " &amp; DATE(2025,10,31))=0, "", SUMIFS(DTrades!AQ:AQ, DTrades!B:B, "&gt;= " &amp; DATE(2025,10,1), DTrades!B:B, "&lt;= " &amp; DATE(2025,10,31)))
</f>
        <v/>
      </c>
      <c r="E11" s="472">
        <f t="shared" si="3"/>
        <v>456</v>
      </c>
      <c r="F11" s="456">
        <f t="shared" si="1"/>
        <v>-0.0006143000318</v>
      </c>
      <c r="G11" s="455">
        <f t="shared" si="2"/>
        <v>741852.28</v>
      </c>
      <c r="H11" s="457"/>
      <c r="I11" s="458">
        <f>COUNTIFS(DTrades!B:B, "&gt;=01-10-2025", DTrades!B:B, "&lt;=31-10-2025")
</f>
        <v>0</v>
      </c>
      <c r="J11" s="459" t="str">
        <f>IFERROR(COUNTIFS(DTrades!B:B, "&gt;="&amp;DATE(2025,10,1), DTrades!B:B, "&lt;="&amp;DATE(2025,10,31), DTrades!AR:AR, "&gt;0") / COUNTIFS(DTrades!B:B, "&gt;="&amp;DATE(2025,10,1), DTrades!B:B, "&lt;="&amp;DATE(2025,10,31)),"")</f>
        <v/>
      </c>
      <c r="K11" s="460" t="str">
        <f t="array" ref="K11">IFERROR(AVERAGEIFs(DTrades!AR:AR,month(DTrades!B:B),10,DTrades!AR:AR,"&gt;0"),"")</f>
        <v/>
      </c>
      <c r="L11" s="461" t="str">
        <f t="array" ref="L11">IFERROR(AVERAGEIFs(DTrades!AR:AR,month(DTrades!B:B),10,DTrades!AR:AR,"&lt;0"),"")</f>
        <v/>
      </c>
      <c r="M11" s="462" t="str">
        <f t="array" ref="M11">IFERROR(AVERAGEIF(TEXT(DTrades!B:B, "MMMM"), "October", DTrades!AL:AL),"")
</f>
        <v/>
      </c>
      <c r="N11" s="463">
        <f t="array" ref="N11">IF(ISNUMBER(I11),MAXIFS(DTrades!AR:AR,month(DTrades!B:B),10), "")</f>
        <v>0</v>
      </c>
      <c r="O11" s="464">
        <f t="array" ref="O11">IF(ISNUMBER(I11),MINIFS(DTrades!AR:AR,month(DTrades!B:B),10), "")</f>
        <v>0</v>
      </c>
      <c r="P11" s="449" t="str">
        <f t="array" ref="P11">IFERROR(AVERAGEIFs(DTrades!AM:AM,month(DTrades!B:B),10,DTrades!AM:AM,"&gt;0"),"")</f>
        <v/>
      </c>
      <c r="Q11" s="450" t="str">
        <f>IF(SUMIFS(DTrades!AQ:AQ, DTrades!B:B, "&gt;= " &amp; DATE(2024,10,1), DTrades!B:B, "&lt;= " &amp; DATE(2024,10,31), DTrades!D:D, "&lt;&gt;")=0, "", SUMIFS(DTrades!AQ:AQ, DTrades!B:B, "&gt;= " &amp; DATE(2024,10,1), DTrades!B:B, "&lt;= " &amp; DATE(2024,10,31), DTrades!D:D, "&lt;&gt;"))
</f>
        <v/>
      </c>
      <c r="R11" s="484" t="s">
        <v>161</v>
      </c>
      <c r="S11" s="485">
        <f>MIN(DTrades!AJ:AJ)</f>
        <v>-0.7561983471</v>
      </c>
      <c r="T11" s="434">
        <f t="array" ref="T11">INDEX(DTrades!C:C, MATCH(MIN(DTrades!AJ:AJ), DTrades!AJ:AJ, 0))</f>
        <v>544441</v>
      </c>
      <c r="U11" s="483">
        <f t="array" ref="U11">INDEX(DTrades!B:B, MATCH(MIN(DTrades!AJ:AJ), DTrades!AJ:AJ, 0))</f>
        <v>45852</v>
      </c>
      <c r="V11" s="433"/>
    </row>
    <row r="12">
      <c r="A12" s="486" t="s">
        <v>162</v>
      </c>
      <c r="B12" s="468"/>
      <c r="C12" s="469">
        <f t="shared" si="4"/>
        <v>741852.28</v>
      </c>
      <c r="D12" s="468" t="str">
        <f>IF(SUMIFS(DTrades!AQ:AQ, DTrades!B:B, "&gt;= " &amp; DATE(2025,11,1), DTrades!B:B, "&lt;= " &amp; DATE(2025,11,30))=0, "", SUMIFS(DTrades!AQ:AQ, DTrades!B:B, "&gt;= " &amp; DATE(2025,11,1), DTrades!B:B, "&lt;= " &amp; DATE(2025,11,30)))
</f>
        <v/>
      </c>
      <c r="E12" s="473">
        <f t="shared" si="3"/>
        <v>561</v>
      </c>
      <c r="F12" s="456">
        <f t="shared" si="1"/>
        <v>-0.00075621524</v>
      </c>
      <c r="G12" s="469">
        <f t="shared" si="2"/>
        <v>741291.28</v>
      </c>
      <c r="H12" s="457"/>
      <c r="I12" s="442">
        <f>COUNTIFS(DTrades!B:B, "&gt;=01-11-2025", DTrades!B:B, "&lt;=30-11-2025")
</f>
        <v>0</v>
      </c>
      <c r="J12" s="443" t="str">
        <f>IFERROR(COUNTIFS(DTrades!B:B, "&gt;="&amp;DATE(2025,11,1), DTrades!B:B, "&lt;="&amp;DATE(2025,11,30), DTrades!AR:AR, "&gt;0") / COUNTIFS(DTrades!B:B, "&gt;="&amp;DATE(2025,11,1), DTrades!B:B, "&lt;="&amp;DATE(2025,11,30)),"")</f>
        <v/>
      </c>
      <c r="K12" s="444" t="str">
        <f t="array" ref="K12">IFERROR(AVERAGEIFs(DTrades!AR:AR,month(DTrades!B:B),11,DTrades!AR:AR,"&gt;0"),"")</f>
        <v/>
      </c>
      <c r="L12" s="445" t="str">
        <f t="array" ref="L12">IFERROR(AVERAGEIFs(DTrades!AR:AR,month(DTrades!B:B),11,DTrades!AR:AR,"&lt;0"),"")</f>
        <v/>
      </c>
      <c r="M12" s="446" t="str">
        <f t="array" ref="M12">IFERROR(AVERAGEIF(TEXT(DTrades!B:B, "MMMM"), "November", DTrades!AL:AL),"")
</f>
        <v/>
      </c>
      <c r="N12" s="447">
        <f t="array" ref="N12">IF(ISNUMBER(I12),MAXIFS(DTrades!AR:AR,month(DTrades!B:B),11), "")</f>
        <v>0</v>
      </c>
      <c r="O12" s="448">
        <f t="array" ref="O12">IF(ISNUMBER(I12),MINIFS(DTrades!AR:AR,month(DTrades!B:B),11), "")</f>
        <v>0</v>
      </c>
      <c r="P12" s="449" t="str">
        <f t="array" ref="P12">IFERROR(AVERAGEIFs(DTrades!AM:AM,month(DTrades!B:B),11,DTrades!AM:AM,"&gt;0"),"")</f>
        <v/>
      </c>
      <c r="Q12" s="450" t="str">
        <f>IF(SUMIFS(DTrades!AQ:AQ, DTrades!B:B, "&gt;= " &amp; DATE(2024,11,1), DTrades!B:B, "&lt;= " &amp; DATE(2024,11,30), DTrades!D:D, "&lt;&gt;")=0, "", SUMIFS(DTrades!AQ:AQ, DTrades!B:B, "&gt;= " &amp; DATE(2024,11,1), DTrades!B:B, "&lt;= " &amp; DATE(2024,11,30), DTrades!D:D, "&lt;&gt;"))
</f>
        <v/>
      </c>
      <c r="R12" s="487" t="s">
        <v>163</v>
      </c>
      <c r="S12" s="488">
        <f>MAX(DTrades!AR:AR)</f>
        <v>0.00585</v>
      </c>
      <c r="T12" s="434" t="str">
        <f t="array" ref="T12">INDEX(DTrades!C:C, MATCH(MAX(DTrades!AR:AR), DTrades!AR:AR, 0))</f>
        <v>DIXON</v>
      </c>
      <c r="U12" s="483">
        <f t="array" ref="U12">INDEX(DTrades!B:B, MATCH(MAX(DTrades!AR:AR), DTrades!AR:AR, 0))</f>
        <v>45859</v>
      </c>
      <c r="V12" s="433"/>
    </row>
    <row r="13">
      <c r="A13" s="489" t="s">
        <v>164</v>
      </c>
      <c r="B13" s="490"/>
      <c r="C13" s="491">
        <f t="shared" si="4"/>
        <v>741291.28</v>
      </c>
      <c r="D13" s="490" t="str">
        <f>IF(SUMIFS(DTrades!AQ:AQ, DTrades!B:B, "&gt;= " &amp; DATE(2025,12,1), DTrades!B:B, "&lt;= " &amp; DATE(2025,12,31))=0, "", SUMIFS(DTrades!AQ:AQ, DTrades!B:B, "&gt;= " &amp; DATE(2025,12,1), DTrades!B:B, "&lt;= " &amp; DATE(2025,12,31)))
</f>
        <v/>
      </c>
      <c r="E13" s="491">
        <f t="shared" si="3"/>
        <v>184</v>
      </c>
      <c r="F13" s="492">
        <f t="shared" si="1"/>
        <v>-0.0002482155193</v>
      </c>
      <c r="G13" s="491">
        <f t="shared" si="2"/>
        <v>741107.28</v>
      </c>
      <c r="H13" s="493"/>
      <c r="I13" s="494">
        <f>COUNTIFS(DTrades!B:B, "&gt;=01-12-2025", DTrades!B:B, "&lt;=31-12-2025")
</f>
        <v>0</v>
      </c>
      <c r="J13" s="495" t="str">
        <f>IFERROR(COUNTIFS(DTrades!B:B, "&gt;="&amp;DATE(2025,12,1), DTrades!B:B, "&lt;="&amp;DATE(2025,12,31), DTrades!AR:AR, "&gt;0") / COUNTIFS(DTrades!B:B, "&gt;="&amp;DATE(2025,12,1), DTrades!B:B, "&lt;="&amp;DATE(2025,12,31)),"")</f>
        <v/>
      </c>
      <c r="K13" s="496" t="str">
        <f t="array" ref="K13">IFERROR(AVERAGEIFs(DTrades!AR:AR,month(DTrades!B:B),12,DTrades!AR:AR,"&gt;0"),"")</f>
        <v/>
      </c>
      <c r="L13" s="497" t="str">
        <f t="array" ref="L13">IFERROR(AVERAGEIFs(DTrades!AR:AR,month(DTrades!B:B),12,DTrades!AR:AR,"&lt;0"),"")</f>
        <v/>
      </c>
      <c r="M13" s="498" t="str">
        <f t="array" ref="M13">IFERROR(AVERAGEIF(TEXT(DTrades!B:B, "MMMM"), "December", DTrades!AL:AL),"")
</f>
        <v/>
      </c>
      <c r="N13" s="499">
        <f t="array" ref="N13">IF(ISNUMBER(I13),MAXIFS(DTrades!AR:AR,month(DTrades!B:B),12), "")</f>
        <v>0</v>
      </c>
      <c r="O13" s="500">
        <f t="array" ref="O13">IF(ISNUMBER(I13),MINIFS(DTrades!AR:AR,month(DTrades!B:B),12), "")</f>
        <v>0</v>
      </c>
      <c r="P13" s="501" t="str">
        <f t="array" ref="P13">IFERROR(AVERAGEIFs(DTrades!AM:AM,month(DTrades!B:B),12,DTrades!AM:AM,"&gt;0"),"")</f>
        <v/>
      </c>
      <c r="Q13" s="450" t="str">
        <f>IF(SUMIFS(DTrades!AQ:AQ, DTrades!B:B, "&gt;= " &amp; DATE(2024,12,1), DTrades!B:B, "&lt;= " &amp; DATE(2024,12,31), DTrades!D:D, "&lt;&gt;")=0, "", SUMIFS(DTrades!AQ:AQ, DTrades!B:B, "&gt;= " &amp; DATE(2024,12,1), DTrades!B:B, "&lt;= " &amp; DATE(2024,12,31), DTrades!D:D, "&lt;&gt;"))
</f>
        <v/>
      </c>
      <c r="R13" s="502" t="s">
        <v>165</v>
      </c>
      <c r="S13" s="503">
        <f>MIN(DTrades!AR:AR)</f>
        <v>-0.1464</v>
      </c>
      <c r="T13" s="434">
        <f t="array" ref="T13">INDEX(DTrades!C:C, MATCH(MIN(DTrades!AR:AR), DTrades!AR:AR, 0))</f>
        <v>544441</v>
      </c>
      <c r="U13" s="483">
        <f t="array" ref="U13">INDEX(DTrades!B:B, MATCH(MIN(DTrades!AR:AR), DTrades!AR:AR, 0))</f>
        <v>45852</v>
      </c>
      <c r="V13" s="433"/>
    </row>
    <row r="14">
      <c r="A14" s="504"/>
      <c r="B14" s="505"/>
      <c r="C14" s="506"/>
      <c r="D14" s="507"/>
      <c r="E14" s="508"/>
      <c r="F14" s="509"/>
      <c r="G14" s="510"/>
      <c r="H14" s="507"/>
      <c r="I14" s="433"/>
      <c r="J14" s="434"/>
      <c r="K14" s="480" t="s">
        <v>166</v>
      </c>
      <c r="L14" s="511">
        <f>AVERAGE(M2:M13)</f>
        <v>-1.256815027</v>
      </c>
      <c r="M14" s="434"/>
      <c r="N14" s="434"/>
      <c r="O14" s="434"/>
      <c r="P14" s="434"/>
      <c r="Q14" s="434"/>
      <c r="R14" s="434"/>
      <c r="S14" s="434"/>
      <c r="T14" s="434"/>
      <c r="U14" s="434"/>
      <c r="V14" s="434"/>
    </row>
    <row r="15">
      <c r="A15" s="504"/>
      <c r="B15" s="505"/>
      <c r="C15" s="506"/>
      <c r="D15" s="507"/>
      <c r="E15" s="508"/>
      <c r="F15" s="509"/>
      <c r="G15" s="510"/>
      <c r="H15" s="507"/>
      <c r="I15" s="512" t="s">
        <v>167</v>
      </c>
      <c r="L15" s="513">
        <f t="array" ref="L15">COUNTIFS(INDIRECT("DTrades!AN2:AN" &amp; S2+1), "&lt;&gt;Closed")
</f>
        <v>7</v>
      </c>
      <c r="M15" s="434"/>
      <c r="N15" s="434"/>
      <c r="O15" s="434"/>
      <c r="P15" s="434"/>
      <c r="Q15" s="434"/>
      <c r="R15" s="434"/>
      <c r="S15" s="434"/>
      <c r="T15" s="434"/>
      <c r="U15" s="434"/>
      <c r="V15" s="434"/>
    </row>
    <row r="16">
      <c r="A16" s="504"/>
      <c r="B16" s="433"/>
      <c r="C16" s="514" t="s">
        <v>168</v>
      </c>
      <c r="D16" s="515"/>
      <c r="E16" s="516">
        <v>20.0</v>
      </c>
      <c r="F16" s="517" t="s">
        <v>169</v>
      </c>
      <c r="G16" s="433"/>
      <c r="H16" s="507"/>
      <c r="I16" s="508"/>
      <c r="J16" s="518"/>
      <c r="K16" s="512" t="s">
        <v>170</v>
      </c>
      <c r="L16" s="519" t="str">
        <f t="array" ref="L16">(INDEX(G:G, MONTH(TODAY()) + 1) - SUMPRODUCT(DTrades!AN:AN, DTrades!U:U)) / INDEX(G:G, MONTH(TODAY()) + 1)
</f>
        <v>#DIV/0!</v>
      </c>
      <c r="M16" s="520"/>
      <c r="N16" s="434"/>
      <c r="O16" s="434"/>
      <c r="P16" s="435"/>
      <c r="Q16" s="435"/>
      <c r="R16" s="434"/>
      <c r="S16" s="434"/>
      <c r="T16" s="434"/>
      <c r="U16" s="434"/>
      <c r="V16" s="434"/>
    </row>
    <row r="17">
      <c r="A17" s="504"/>
      <c r="B17" s="433"/>
      <c r="C17" s="521" t="s">
        <v>145</v>
      </c>
      <c r="D17" s="522"/>
      <c r="E17" s="523">
        <f t="array" ref="E17">COUNTIF(INDIRECT("DTrades!AR" &amp; $S$2-$E$16+2 &amp; ":AR" &amp; $S$2+1), "&gt;0") / $E$16</f>
        <v>0.4</v>
      </c>
      <c r="F17" s="433"/>
      <c r="G17" s="433"/>
      <c r="H17" s="507"/>
      <c r="I17" s="508"/>
      <c r="J17" s="512" t="s">
        <v>33</v>
      </c>
      <c r="L17" s="524" t="str">
        <f t="array" ref="L17">(SUM(DTrades!AK:AK))/INDEX(C:C, MONTH(TODAY()) + 1)</f>
        <v>#DIV/0!</v>
      </c>
      <c r="M17" s="434"/>
      <c r="N17" s="525"/>
      <c r="O17" s="434"/>
      <c r="P17" s="435"/>
      <c r="Q17" s="434"/>
      <c r="R17" s="434"/>
      <c r="S17" s="434"/>
      <c r="T17" s="434"/>
      <c r="U17" s="434"/>
      <c r="V17" s="434"/>
    </row>
    <row r="18">
      <c r="A18" s="504"/>
      <c r="B18" s="433"/>
      <c r="C18" s="526" t="s">
        <v>171</v>
      </c>
      <c r="D18" s="522"/>
      <c r="E18" s="527">
        <f t="array" ref="E18">IFERROR(AVERAGEIF(INDIRECT("DTrades!AR" &amp; $S$2-$E$16+2 &amp; ":AR" &amp; $S$2+1), "&gt;0"),"")</f>
        <v>0.001398040802</v>
      </c>
      <c r="F18" s="433"/>
      <c r="G18" s="433"/>
      <c r="H18" s="507"/>
      <c r="I18" s="508"/>
      <c r="J18" s="434"/>
      <c r="K18" s="434"/>
      <c r="L18" s="435"/>
      <c r="M18" s="434"/>
      <c r="N18" s="434"/>
      <c r="O18" s="434"/>
      <c r="P18" s="434"/>
      <c r="Q18" s="434"/>
      <c r="R18" s="434"/>
      <c r="S18" s="434"/>
      <c r="T18" s="434"/>
      <c r="U18" s="434"/>
      <c r="V18" s="434"/>
    </row>
    <row r="19">
      <c r="A19" s="504"/>
      <c r="B19" s="433"/>
      <c r="C19" s="521" t="s">
        <v>172</v>
      </c>
      <c r="D19" s="522"/>
      <c r="E19" s="528">
        <f t="array" ref="E19">IFERROR(AVERAGEIF(INDIRECT("DTrades!AR" &amp; $S$2-$E$16+2 &amp; ":AR" &amp; $S$2+1), "&lt;0"),"")</f>
        <v>-0.01345708009</v>
      </c>
      <c r="F19" s="433"/>
      <c r="G19" s="433"/>
      <c r="H19" s="507"/>
      <c r="I19" s="508"/>
      <c r="J19" s="434"/>
      <c r="K19" s="434"/>
      <c r="L19" s="434"/>
      <c r="M19" s="434"/>
      <c r="N19" s="434"/>
      <c r="O19" s="434"/>
      <c r="P19" s="434"/>
      <c r="Q19" s="434"/>
      <c r="R19" s="434"/>
      <c r="S19" s="434"/>
      <c r="T19" s="434"/>
      <c r="U19" s="434"/>
      <c r="V19" s="434"/>
    </row>
    <row r="20">
      <c r="A20" s="504"/>
      <c r="B20" s="433"/>
      <c r="C20" s="526" t="s">
        <v>173</v>
      </c>
      <c r="D20" s="522"/>
      <c r="E20" s="529">
        <f t="array" ref="E20">AVERAGE(INDIRECT("DTrades!V" &amp; $S$2-$E$16+2 &amp; ":V" &amp; $S$2+1))</f>
        <v>0.1563204154</v>
      </c>
      <c r="F20" s="433"/>
      <c r="G20" s="530"/>
      <c r="H20" s="507"/>
      <c r="I20" s="508"/>
      <c r="J20" s="434"/>
      <c r="K20" s="434"/>
      <c r="L20" s="434"/>
      <c r="M20" s="434"/>
      <c r="N20" s="434"/>
      <c r="O20" s="434"/>
      <c r="P20" s="434"/>
      <c r="Q20" s="434"/>
      <c r="R20" s="434"/>
      <c r="S20" s="434"/>
      <c r="T20" s="434"/>
      <c r="U20" s="434"/>
      <c r="V20" s="434"/>
    </row>
    <row r="21">
      <c r="A21" s="504"/>
      <c r="B21" s="433"/>
      <c r="C21" s="531" t="s">
        <v>153</v>
      </c>
      <c r="D21" s="532"/>
      <c r="E21" s="533">
        <f t="array" ref="E21">AVERAGE(INDIRECT("DTrades!AM" &amp; $S$2-$E$16+2 &amp; ":AM" &amp; $S$2+1))</f>
        <v>90.55</v>
      </c>
      <c r="F21" s="433"/>
      <c r="G21" s="433"/>
      <c r="H21" s="507"/>
      <c r="I21" s="508"/>
      <c r="J21" s="434"/>
      <c r="K21" s="434"/>
      <c r="L21" s="434"/>
      <c r="M21" s="434"/>
      <c r="N21" s="434"/>
      <c r="O21" s="434"/>
      <c r="P21" s="434"/>
      <c r="Q21" s="434"/>
      <c r="R21" s="434"/>
      <c r="S21" s="434"/>
      <c r="T21" s="434"/>
      <c r="U21" s="434"/>
      <c r="V21" s="434"/>
    </row>
    <row r="22">
      <c r="A22" s="504"/>
      <c r="B22" s="505"/>
      <c r="C22" s="534" t="s">
        <v>174</v>
      </c>
      <c r="D22" s="535"/>
      <c r="E22" s="536">
        <f t="array" ref="E22">IFERROR(AVERAGE(INDIRECT("DTrades!AL" &amp; $S$2-$E$16+2 &amp; ":AL" &amp; $S$2+1)), "")
</f>
        <v>-1.470718577</v>
      </c>
      <c r="F22" s="509"/>
      <c r="G22" s="510"/>
      <c r="H22" s="507"/>
      <c r="I22" s="508"/>
      <c r="J22" s="434"/>
      <c r="K22" s="434"/>
      <c r="L22" s="434"/>
      <c r="M22" s="434"/>
      <c r="N22" s="434"/>
      <c r="O22" s="434"/>
      <c r="P22" s="434"/>
      <c r="Q22" s="434"/>
      <c r="R22" s="434"/>
      <c r="S22" s="434"/>
      <c r="T22" s="434"/>
      <c r="U22" s="434"/>
      <c r="V22" s="434"/>
    </row>
    <row r="23">
      <c r="A23" s="504"/>
      <c r="B23" s="505"/>
      <c r="C23" s="506"/>
      <c r="D23" s="507"/>
      <c r="E23" s="508"/>
      <c r="F23" s="509"/>
      <c r="G23" s="510"/>
      <c r="H23" s="507"/>
      <c r="I23" s="508"/>
      <c r="J23" s="434"/>
      <c r="K23" s="434"/>
      <c r="L23" s="434"/>
      <c r="M23" s="434"/>
      <c r="N23" s="434"/>
      <c r="O23" s="434"/>
      <c r="P23" s="434"/>
      <c r="Q23" s="434"/>
      <c r="R23" s="434"/>
      <c r="S23" s="434"/>
      <c r="T23" s="434"/>
      <c r="U23" s="434"/>
      <c r="V23" s="434"/>
    </row>
    <row r="24">
      <c r="A24" s="504"/>
      <c r="B24" s="505"/>
      <c r="C24" s="506"/>
      <c r="D24" s="507"/>
      <c r="E24" s="508"/>
      <c r="F24" s="509"/>
      <c r="G24" s="510"/>
      <c r="H24" s="507"/>
      <c r="I24" s="508"/>
      <c r="J24" s="434"/>
      <c r="K24" s="434"/>
      <c r="L24" s="434"/>
      <c r="M24" s="434"/>
      <c r="N24" s="434"/>
      <c r="O24" s="434"/>
      <c r="P24" s="434"/>
      <c r="Q24" s="434"/>
      <c r="R24" s="434"/>
      <c r="S24" s="434"/>
      <c r="T24" s="434"/>
      <c r="U24" s="434"/>
      <c r="V24" s="434"/>
    </row>
    <row r="25">
      <c r="A25" s="504"/>
      <c r="B25" s="505"/>
      <c r="C25" s="506"/>
      <c r="D25" s="507"/>
      <c r="E25" s="508"/>
      <c r="F25" s="509"/>
      <c r="G25" s="510"/>
      <c r="H25" s="507"/>
      <c r="I25" s="508"/>
      <c r="J25" s="434"/>
      <c r="K25" s="434"/>
      <c r="L25" s="434"/>
      <c r="M25" s="434"/>
      <c r="N25" s="434"/>
      <c r="O25" s="434"/>
      <c r="P25" s="434"/>
      <c r="Q25" s="434"/>
      <c r="R25" s="434"/>
      <c r="S25" s="434"/>
      <c r="T25" s="434"/>
      <c r="U25" s="434"/>
      <c r="V25" s="434"/>
    </row>
    <row r="26">
      <c r="A26" s="504"/>
      <c r="B26" s="505"/>
      <c r="C26" s="506"/>
      <c r="D26" s="507"/>
      <c r="E26" s="508"/>
      <c r="F26" s="509"/>
      <c r="G26" s="510"/>
      <c r="H26" s="507"/>
      <c r="I26" s="508"/>
      <c r="J26" s="434"/>
      <c r="K26" s="434"/>
      <c r="L26" s="434"/>
      <c r="M26" s="434"/>
      <c r="N26" s="434"/>
      <c r="O26" s="434"/>
      <c r="P26" s="434"/>
      <c r="Q26" s="434"/>
      <c r="R26" s="434"/>
      <c r="S26" s="434"/>
      <c r="T26" s="434"/>
      <c r="U26" s="434"/>
      <c r="V26" s="434"/>
    </row>
    <row r="27">
      <c r="A27" s="504"/>
      <c r="B27" s="505"/>
      <c r="C27" s="506"/>
      <c r="D27" s="507"/>
      <c r="E27" s="508"/>
      <c r="F27" s="509"/>
      <c r="G27" s="510"/>
      <c r="H27" s="507"/>
      <c r="I27" s="508"/>
      <c r="J27" s="434"/>
      <c r="K27" s="434"/>
      <c r="L27" s="434"/>
      <c r="M27" s="434"/>
      <c r="N27" s="434"/>
      <c r="O27" s="434"/>
      <c r="P27" s="434"/>
      <c r="Q27" s="434"/>
      <c r="R27" s="434"/>
      <c r="S27" s="434"/>
      <c r="T27" s="434"/>
      <c r="U27" s="434"/>
      <c r="V27" s="434"/>
    </row>
    <row r="28">
      <c r="A28" s="504"/>
      <c r="B28" s="505"/>
      <c r="C28" s="506"/>
      <c r="D28" s="507"/>
      <c r="E28" s="508"/>
      <c r="F28" s="509"/>
      <c r="G28" s="510"/>
      <c r="H28" s="507"/>
      <c r="I28" s="508"/>
      <c r="J28" s="434"/>
      <c r="K28" s="434"/>
      <c r="L28" s="434"/>
      <c r="M28" s="434"/>
      <c r="N28" s="434"/>
      <c r="O28" s="434"/>
      <c r="P28" s="434"/>
      <c r="Q28" s="434"/>
      <c r="R28" s="434"/>
      <c r="S28" s="434"/>
      <c r="T28" s="434"/>
      <c r="U28" s="434"/>
      <c r="V28" s="434"/>
    </row>
    <row r="29">
      <c r="A29" s="504"/>
      <c r="B29" s="505"/>
      <c r="C29" s="506"/>
      <c r="D29" s="507"/>
      <c r="E29" s="508"/>
      <c r="F29" s="509"/>
      <c r="G29" s="510"/>
      <c r="H29" s="507"/>
      <c r="I29" s="508"/>
      <c r="J29" s="434"/>
      <c r="K29" s="434"/>
      <c r="L29" s="434"/>
      <c r="M29" s="434"/>
      <c r="N29" s="434"/>
      <c r="O29" s="434"/>
      <c r="P29" s="434"/>
      <c r="Q29" s="434"/>
      <c r="R29" s="434"/>
      <c r="S29" s="434"/>
      <c r="T29" s="434"/>
      <c r="U29" s="434"/>
      <c r="V29" s="434"/>
    </row>
    <row r="30">
      <c r="A30" s="504"/>
      <c r="B30" s="505"/>
      <c r="C30" s="506"/>
      <c r="D30" s="507"/>
      <c r="E30" s="508"/>
      <c r="F30" s="509"/>
      <c r="G30" s="510"/>
      <c r="H30" s="507"/>
      <c r="I30" s="508"/>
      <c r="J30" s="434"/>
      <c r="K30" s="434"/>
      <c r="L30" s="434"/>
      <c r="M30" s="434"/>
      <c r="N30" s="434"/>
      <c r="O30" s="434"/>
      <c r="P30" s="434"/>
      <c r="Q30" s="434"/>
      <c r="R30" s="434"/>
      <c r="S30" s="434"/>
      <c r="T30" s="434"/>
      <c r="U30" s="434"/>
      <c r="V30" s="434"/>
    </row>
    <row r="31">
      <c r="A31" s="504"/>
      <c r="B31" s="505"/>
      <c r="C31" s="506"/>
      <c r="D31" s="507"/>
      <c r="E31" s="508"/>
      <c r="F31" s="509"/>
      <c r="G31" s="510"/>
      <c r="H31" s="507"/>
      <c r="I31" s="508"/>
      <c r="J31" s="434"/>
      <c r="K31" s="434"/>
      <c r="L31" s="434"/>
      <c r="M31" s="434"/>
      <c r="N31" s="434"/>
      <c r="O31" s="434"/>
      <c r="P31" s="434"/>
      <c r="Q31" s="434"/>
      <c r="R31" s="434"/>
      <c r="S31" s="434"/>
      <c r="T31" s="434"/>
      <c r="U31" s="434"/>
      <c r="V31" s="434"/>
    </row>
    <row r="32">
      <c r="A32" s="504"/>
      <c r="B32" s="505"/>
      <c r="C32" s="506"/>
      <c r="D32" s="507"/>
      <c r="E32" s="508"/>
      <c r="F32" s="509"/>
      <c r="G32" s="510"/>
      <c r="H32" s="507"/>
      <c r="I32" s="508"/>
      <c r="J32" s="434"/>
      <c r="K32" s="434"/>
      <c r="L32" s="434"/>
      <c r="M32" s="434"/>
      <c r="N32" s="434"/>
      <c r="O32" s="434"/>
      <c r="P32" s="434"/>
      <c r="Q32" s="434"/>
      <c r="R32" s="434"/>
      <c r="S32" s="434"/>
      <c r="T32" s="434"/>
      <c r="U32" s="434"/>
      <c r="V32" s="434"/>
    </row>
    <row r="33">
      <c r="A33" s="504"/>
      <c r="B33" s="505"/>
      <c r="C33" s="506"/>
      <c r="D33" s="507"/>
      <c r="E33" s="508"/>
      <c r="F33" s="509"/>
      <c r="G33" s="510"/>
      <c r="H33" s="507"/>
      <c r="I33" s="508"/>
      <c r="J33" s="434"/>
      <c r="K33" s="434"/>
      <c r="L33" s="434"/>
      <c r="M33" s="434"/>
      <c r="N33" s="434"/>
      <c r="O33" s="434"/>
      <c r="P33" s="434"/>
      <c r="Q33" s="434"/>
      <c r="R33" s="434"/>
      <c r="S33" s="434"/>
      <c r="T33" s="434"/>
      <c r="U33" s="434"/>
      <c r="V33" s="434"/>
    </row>
    <row r="34">
      <c r="A34" s="504"/>
      <c r="B34" s="505"/>
      <c r="C34" s="506"/>
      <c r="D34" s="507"/>
      <c r="E34" s="508"/>
      <c r="F34" s="509"/>
      <c r="G34" s="510"/>
      <c r="H34" s="507"/>
      <c r="I34" s="508"/>
      <c r="J34" s="434"/>
      <c r="K34" s="434"/>
      <c r="L34" s="434"/>
      <c r="M34" s="434"/>
      <c r="N34" s="434"/>
      <c r="O34" s="434"/>
      <c r="P34" s="434"/>
      <c r="Q34" s="434"/>
      <c r="R34" s="434"/>
      <c r="S34" s="434"/>
      <c r="T34" s="434"/>
      <c r="U34" s="434"/>
      <c r="V34" s="434"/>
    </row>
    <row r="35">
      <c r="A35" s="504"/>
      <c r="B35" s="505"/>
      <c r="C35" s="506"/>
      <c r="D35" s="507"/>
      <c r="E35" s="508"/>
      <c r="F35" s="509"/>
      <c r="G35" s="510"/>
      <c r="H35" s="507"/>
      <c r="I35" s="508"/>
      <c r="J35" s="434"/>
      <c r="K35" s="434"/>
      <c r="L35" s="434"/>
      <c r="M35" s="434"/>
      <c r="N35" s="434"/>
      <c r="O35" s="434"/>
      <c r="P35" s="434"/>
      <c r="Q35" s="434"/>
      <c r="R35" s="434"/>
      <c r="S35" s="434"/>
      <c r="T35" s="434"/>
      <c r="U35" s="434"/>
      <c r="V35" s="434"/>
    </row>
    <row r="36">
      <c r="A36" s="504"/>
      <c r="B36" s="505"/>
      <c r="C36" s="506"/>
      <c r="D36" s="507"/>
      <c r="E36" s="508"/>
      <c r="F36" s="509"/>
      <c r="G36" s="510"/>
      <c r="H36" s="507"/>
      <c r="I36" s="508"/>
      <c r="J36" s="434"/>
      <c r="K36" s="434"/>
      <c r="L36" s="434"/>
      <c r="M36" s="434"/>
      <c r="N36" s="434"/>
      <c r="O36" s="434"/>
      <c r="P36" s="434"/>
      <c r="Q36" s="434"/>
      <c r="R36" s="434"/>
      <c r="S36" s="434"/>
      <c r="T36" s="434"/>
      <c r="U36" s="434"/>
      <c r="V36" s="434"/>
    </row>
    <row r="37">
      <c r="A37" s="504"/>
      <c r="B37" s="505"/>
      <c r="C37" s="506"/>
      <c r="D37" s="507"/>
      <c r="E37" s="508"/>
      <c r="F37" s="509"/>
      <c r="G37" s="510"/>
      <c r="H37" s="507"/>
      <c r="I37" s="508"/>
      <c r="J37" s="434"/>
      <c r="K37" s="434"/>
      <c r="L37" s="434"/>
      <c r="M37" s="434"/>
      <c r="N37" s="434"/>
      <c r="O37" s="434"/>
      <c r="P37" s="434"/>
      <c r="Q37" s="434"/>
      <c r="R37" s="434"/>
      <c r="S37" s="434"/>
      <c r="T37" s="434"/>
      <c r="U37" s="434"/>
      <c r="V37" s="434"/>
    </row>
    <row r="38">
      <c r="A38" s="504"/>
      <c r="B38" s="505"/>
      <c r="C38" s="506"/>
      <c r="D38" s="507"/>
      <c r="E38" s="508"/>
      <c r="F38" s="509"/>
      <c r="G38" s="510"/>
      <c r="H38" s="507"/>
      <c r="I38" s="508"/>
      <c r="J38" s="434"/>
      <c r="K38" s="434"/>
      <c r="L38" s="434"/>
      <c r="M38" s="434"/>
      <c r="N38" s="434"/>
      <c r="O38" s="434"/>
      <c r="P38" s="434"/>
      <c r="Q38" s="434"/>
      <c r="R38" s="434"/>
      <c r="S38" s="434"/>
      <c r="T38" s="434"/>
      <c r="U38" s="434"/>
      <c r="V38" s="434"/>
    </row>
    <row r="39">
      <c r="A39" s="504"/>
      <c r="B39" s="505"/>
      <c r="C39" s="506"/>
      <c r="D39" s="507"/>
      <c r="E39" s="508"/>
      <c r="F39" s="509"/>
      <c r="G39" s="510"/>
      <c r="H39" s="507"/>
      <c r="I39" s="508"/>
      <c r="J39" s="434"/>
      <c r="K39" s="434"/>
      <c r="L39" s="434"/>
      <c r="M39" s="434"/>
      <c r="N39" s="434"/>
      <c r="O39" s="434"/>
      <c r="P39" s="434"/>
      <c r="Q39" s="434"/>
      <c r="R39" s="434"/>
      <c r="S39" s="434"/>
      <c r="T39" s="434"/>
      <c r="U39" s="434"/>
      <c r="V39" s="434"/>
    </row>
    <row r="40">
      <c r="A40" s="504"/>
      <c r="B40" s="505"/>
      <c r="C40" s="506"/>
      <c r="D40" s="507"/>
      <c r="E40" s="508"/>
      <c r="F40" s="509"/>
      <c r="G40" s="510"/>
      <c r="H40" s="507"/>
      <c r="I40" s="508"/>
      <c r="J40" s="434"/>
      <c r="K40" s="434"/>
      <c r="L40" s="434"/>
      <c r="M40" s="434"/>
      <c r="N40" s="434"/>
      <c r="O40" s="434"/>
      <c r="P40" s="434"/>
      <c r="Q40" s="434"/>
      <c r="R40" s="434"/>
      <c r="S40" s="434"/>
      <c r="T40" s="434"/>
      <c r="U40" s="434"/>
      <c r="V40" s="434"/>
    </row>
    <row r="41">
      <c r="A41" s="504"/>
      <c r="B41" s="505"/>
      <c r="C41" s="506"/>
      <c r="D41" s="507"/>
      <c r="E41" s="508"/>
      <c r="F41" s="509"/>
      <c r="G41" s="510"/>
      <c r="H41" s="507"/>
      <c r="I41" s="508"/>
      <c r="J41" s="434"/>
      <c r="K41" s="434"/>
      <c r="L41" s="434"/>
      <c r="M41" s="434"/>
      <c r="N41" s="434"/>
      <c r="O41" s="434"/>
      <c r="P41" s="434"/>
      <c r="Q41" s="434"/>
      <c r="R41" s="434"/>
      <c r="S41" s="434"/>
      <c r="T41" s="434"/>
      <c r="U41" s="434"/>
      <c r="V41" s="434"/>
    </row>
    <row r="42">
      <c r="A42" s="504"/>
      <c r="B42" s="505"/>
      <c r="C42" s="506"/>
      <c r="D42" s="507"/>
      <c r="E42" s="508"/>
      <c r="F42" s="509"/>
      <c r="G42" s="510"/>
      <c r="H42" s="507"/>
      <c r="I42" s="508"/>
      <c r="J42" s="434"/>
      <c r="K42" s="434"/>
      <c r="L42" s="434"/>
      <c r="M42" s="434"/>
      <c r="N42" s="434"/>
      <c r="O42" s="434"/>
      <c r="P42" s="434"/>
      <c r="Q42" s="434"/>
      <c r="R42" s="434"/>
      <c r="S42" s="434"/>
      <c r="T42" s="434"/>
      <c r="U42" s="434"/>
      <c r="V42" s="434"/>
    </row>
    <row r="43">
      <c r="A43" s="504"/>
      <c r="B43" s="505"/>
      <c r="C43" s="506"/>
      <c r="D43" s="507"/>
      <c r="E43" s="508"/>
      <c r="F43" s="509"/>
      <c r="G43" s="510"/>
      <c r="H43" s="507"/>
      <c r="I43" s="508"/>
      <c r="J43" s="434"/>
      <c r="K43" s="434"/>
      <c r="L43" s="434"/>
      <c r="M43" s="434"/>
      <c r="N43" s="434"/>
      <c r="O43" s="434"/>
      <c r="P43" s="434"/>
      <c r="Q43" s="434"/>
      <c r="R43" s="434"/>
      <c r="S43" s="434"/>
      <c r="T43" s="434"/>
      <c r="U43" s="434"/>
      <c r="V43" s="434"/>
    </row>
    <row r="44">
      <c r="A44" s="504"/>
      <c r="B44" s="505"/>
      <c r="C44" s="506"/>
      <c r="D44" s="507"/>
      <c r="E44" s="508"/>
      <c r="F44" s="509"/>
      <c r="G44" s="510"/>
      <c r="H44" s="507"/>
      <c r="I44" s="508"/>
      <c r="J44" s="434"/>
      <c r="K44" s="434"/>
      <c r="L44" s="434"/>
      <c r="M44" s="434"/>
      <c r="N44" s="434"/>
      <c r="O44" s="434"/>
      <c r="P44" s="434"/>
      <c r="Q44" s="434"/>
      <c r="R44" s="434"/>
      <c r="S44" s="434"/>
      <c r="T44" s="434"/>
      <c r="U44" s="434"/>
      <c r="V44" s="434"/>
    </row>
    <row r="45">
      <c r="A45" s="504"/>
      <c r="B45" s="505"/>
      <c r="C45" s="506"/>
      <c r="D45" s="507"/>
      <c r="E45" s="508"/>
      <c r="F45" s="509"/>
      <c r="G45" s="510"/>
      <c r="H45" s="507"/>
      <c r="I45" s="508"/>
      <c r="J45" s="434"/>
      <c r="K45" s="434"/>
      <c r="L45" s="434"/>
      <c r="M45" s="434"/>
      <c r="N45" s="434"/>
      <c r="O45" s="434"/>
      <c r="P45" s="434"/>
      <c r="Q45" s="434"/>
      <c r="R45" s="434"/>
      <c r="S45" s="434"/>
      <c r="T45" s="434"/>
      <c r="U45" s="434"/>
      <c r="V45" s="434"/>
    </row>
    <row r="46">
      <c r="A46" s="504"/>
      <c r="B46" s="505"/>
      <c r="C46" s="506"/>
      <c r="D46" s="507"/>
      <c r="E46" s="508"/>
      <c r="F46" s="509"/>
      <c r="G46" s="510"/>
      <c r="H46" s="507"/>
      <c r="I46" s="508"/>
      <c r="J46" s="434"/>
      <c r="K46" s="434"/>
      <c r="L46" s="434"/>
      <c r="M46" s="434"/>
      <c r="N46" s="434"/>
      <c r="O46" s="434"/>
      <c r="P46" s="434"/>
      <c r="Q46" s="434"/>
      <c r="R46" s="434"/>
      <c r="S46" s="434"/>
      <c r="T46" s="434"/>
      <c r="U46" s="434"/>
      <c r="V46" s="434"/>
    </row>
    <row r="47">
      <c r="A47" s="504"/>
      <c r="B47" s="505"/>
      <c r="C47" s="506"/>
      <c r="D47" s="507"/>
      <c r="E47" s="508"/>
      <c r="F47" s="509"/>
      <c r="G47" s="510"/>
      <c r="H47" s="507"/>
      <c r="I47" s="508"/>
      <c r="J47" s="434"/>
      <c r="K47" s="434"/>
      <c r="L47" s="434"/>
      <c r="M47" s="434"/>
      <c r="N47" s="434"/>
      <c r="O47" s="434"/>
      <c r="P47" s="434"/>
      <c r="Q47" s="434"/>
      <c r="R47" s="434"/>
      <c r="S47" s="434"/>
      <c r="T47" s="434"/>
      <c r="U47" s="434"/>
      <c r="V47" s="434"/>
    </row>
    <row r="48">
      <c r="A48" s="504"/>
      <c r="B48" s="505"/>
      <c r="C48" s="506"/>
      <c r="D48" s="507"/>
      <c r="E48" s="508"/>
      <c r="F48" s="509"/>
      <c r="G48" s="510"/>
      <c r="H48" s="507"/>
      <c r="I48" s="508"/>
      <c r="J48" s="434"/>
      <c r="K48" s="434"/>
      <c r="L48" s="434"/>
      <c r="M48" s="434"/>
      <c r="N48" s="434"/>
      <c r="O48" s="434"/>
      <c r="P48" s="434"/>
      <c r="Q48" s="434"/>
      <c r="R48" s="434"/>
      <c r="S48" s="434"/>
      <c r="T48" s="434"/>
      <c r="U48" s="434"/>
      <c r="V48" s="434"/>
    </row>
    <row r="49">
      <c r="A49" s="504"/>
      <c r="B49" s="505"/>
      <c r="C49" s="506"/>
      <c r="D49" s="507"/>
      <c r="E49" s="508"/>
      <c r="F49" s="509"/>
      <c r="G49" s="510"/>
      <c r="H49" s="507"/>
      <c r="I49" s="508"/>
      <c r="J49" s="434"/>
      <c r="K49" s="434"/>
      <c r="L49" s="434"/>
      <c r="M49" s="434"/>
      <c r="N49" s="434"/>
      <c r="O49" s="434"/>
      <c r="P49" s="434"/>
      <c r="Q49" s="434"/>
      <c r="R49" s="434"/>
      <c r="S49" s="434"/>
      <c r="T49" s="434"/>
      <c r="U49" s="434"/>
      <c r="V49" s="434"/>
    </row>
    <row r="50">
      <c r="A50" s="504"/>
      <c r="B50" s="505"/>
      <c r="C50" s="506"/>
      <c r="D50" s="507"/>
      <c r="E50" s="508"/>
      <c r="F50" s="509"/>
      <c r="G50" s="510"/>
      <c r="H50" s="507"/>
      <c r="I50" s="508"/>
      <c r="J50" s="434"/>
      <c r="K50" s="434"/>
      <c r="L50" s="434"/>
      <c r="M50" s="434"/>
      <c r="N50" s="434"/>
      <c r="O50" s="434"/>
      <c r="P50" s="434"/>
      <c r="Q50" s="434"/>
      <c r="R50" s="434"/>
      <c r="S50" s="434"/>
      <c r="T50" s="434"/>
      <c r="U50" s="434"/>
      <c r="V50" s="434"/>
    </row>
    <row r="51">
      <c r="A51" s="504"/>
      <c r="B51" s="505"/>
      <c r="C51" s="506"/>
      <c r="D51" s="507"/>
      <c r="E51" s="508"/>
      <c r="F51" s="509"/>
      <c r="G51" s="510"/>
      <c r="H51" s="507"/>
      <c r="I51" s="508"/>
      <c r="J51" s="434"/>
      <c r="K51" s="434"/>
      <c r="L51" s="434"/>
      <c r="M51" s="434"/>
      <c r="N51" s="434"/>
      <c r="O51" s="434"/>
      <c r="P51" s="434"/>
      <c r="Q51" s="434"/>
      <c r="R51" s="434"/>
      <c r="S51" s="434"/>
      <c r="T51" s="434"/>
      <c r="U51" s="434"/>
      <c r="V51" s="434"/>
    </row>
    <row r="52">
      <c r="A52" s="504"/>
      <c r="B52" s="505"/>
      <c r="C52" s="506"/>
      <c r="D52" s="507"/>
      <c r="E52" s="508"/>
      <c r="F52" s="509"/>
      <c r="G52" s="510"/>
      <c r="H52" s="507"/>
      <c r="I52" s="508"/>
      <c r="J52" s="434"/>
      <c r="K52" s="434"/>
      <c r="L52" s="434"/>
      <c r="M52" s="434"/>
      <c r="N52" s="434"/>
      <c r="O52" s="434"/>
      <c r="P52" s="434"/>
      <c r="Q52" s="434"/>
      <c r="R52" s="434"/>
      <c r="S52" s="434"/>
      <c r="T52" s="434"/>
      <c r="U52" s="434"/>
      <c r="V52" s="434"/>
    </row>
    <row r="53">
      <c r="A53" s="504"/>
      <c r="B53" s="505"/>
      <c r="C53" s="506"/>
      <c r="D53" s="507"/>
      <c r="E53" s="508"/>
      <c r="F53" s="509"/>
      <c r="G53" s="510"/>
      <c r="H53" s="507"/>
      <c r="I53" s="508"/>
      <c r="J53" s="434"/>
      <c r="K53" s="434"/>
      <c r="L53" s="434"/>
      <c r="M53" s="434"/>
      <c r="N53" s="434"/>
      <c r="O53" s="434"/>
      <c r="P53" s="434"/>
      <c r="Q53" s="434"/>
      <c r="R53" s="434"/>
      <c r="S53" s="434"/>
      <c r="T53" s="434"/>
      <c r="U53" s="434"/>
      <c r="V53" s="434"/>
    </row>
    <row r="54">
      <c r="A54" s="504"/>
      <c r="B54" s="505"/>
      <c r="C54" s="506"/>
      <c r="D54" s="507"/>
      <c r="E54" s="508"/>
      <c r="F54" s="509"/>
      <c r="G54" s="510"/>
      <c r="H54" s="507"/>
      <c r="I54" s="508"/>
      <c r="J54" s="434"/>
      <c r="K54" s="434"/>
      <c r="L54" s="434"/>
      <c r="M54" s="434"/>
      <c r="N54" s="434"/>
      <c r="O54" s="434"/>
      <c r="P54" s="434"/>
      <c r="Q54" s="434"/>
      <c r="R54" s="434"/>
      <c r="S54" s="434"/>
      <c r="T54" s="434"/>
      <c r="U54" s="434"/>
      <c r="V54" s="434"/>
    </row>
    <row r="55">
      <c r="A55" s="504"/>
      <c r="B55" s="505"/>
      <c r="C55" s="506"/>
      <c r="D55" s="507"/>
      <c r="E55" s="508"/>
      <c r="F55" s="509"/>
      <c r="G55" s="510"/>
      <c r="H55" s="507"/>
      <c r="I55" s="508"/>
      <c r="J55" s="434"/>
      <c r="K55" s="434"/>
      <c r="L55" s="434"/>
      <c r="M55" s="434"/>
      <c r="N55" s="434"/>
      <c r="O55" s="434"/>
      <c r="P55" s="434"/>
      <c r="Q55" s="434"/>
      <c r="R55" s="434"/>
      <c r="S55" s="434"/>
      <c r="T55" s="434"/>
      <c r="U55" s="434"/>
      <c r="V55" s="434"/>
    </row>
    <row r="56">
      <c r="A56" s="504"/>
      <c r="B56" s="505"/>
      <c r="C56" s="506"/>
      <c r="D56" s="507"/>
      <c r="E56" s="508"/>
      <c r="F56" s="509"/>
      <c r="G56" s="510"/>
      <c r="H56" s="507"/>
      <c r="I56" s="508"/>
      <c r="J56" s="434"/>
      <c r="K56" s="434"/>
      <c r="L56" s="434"/>
      <c r="M56" s="434"/>
      <c r="N56" s="434"/>
      <c r="O56" s="434"/>
      <c r="P56" s="434"/>
      <c r="Q56" s="434"/>
      <c r="R56" s="434"/>
      <c r="S56" s="434"/>
      <c r="T56" s="434"/>
      <c r="U56" s="434"/>
      <c r="V56" s="434"/>
    </row>
    <row r="57">
      <c r="A57" s="504"/>
      <c r="B57" s="505"/>
      <c r="C57" s="506"/>
      <c r="D57" s="507"/>
      <c r="E57" s="508"/>
      <c r="F57" s="509"/>
      <c r="G57" s="510"/>
      <c r="H57" s="507"/>
      <c r="I57" s="508"/>
      <c r="J57" s="434"/>
      <c r="K57" s="434"/>
      <c r="L57" s="434"/>
      <c r="M57" s="434"/>
      <c r="N57" s="434"/>
      <c r="O57" s="434"/>
      <c r="P57" s="434"/>
      <c r="Q57" s="434"/>
      <c r="R57" s="434"/>
      <c r="S57" s="434"/>
      <c r="T57" s="434"/>
      <c r="U57" s="434"/>
      <c r="V57" s="434"/>
    </row>
    <row r="58">
      <c r="A58" s="504"/>
      <c r="B58" s="505"/>
      <c r="C58" s="506"/>
      <c r="D58" s="507"/>
      <c r="E58" s="508"/>
      <c r="F58" s="509"/>
      <c r="G58" s="510"/>
      <c r="H58" s="507"/>
      <c r="I58" s="508"/>
      <c r="J58" s="434"/>
      <c r="K58" s="434"/>
      <c r="L58" s="434"/>
      <c r="M58" s="434"/>
      <c r="N58" s="434"/>
      <c r="O58" s="434"/>
      <c r="P58" s="434"/>
      <c r="Q58" s="434"/>
      <c r="R58" s="434"/>
      <c r="S58" s="434"/>
      <c r="T58" s="434"/>
      <c r="U58" s="434"/>
      <c r="V58" s="434"/>
    </row>
    <row r="59">
      <c r="A59" s="504"/>
      <c r="B59" s="505"/>
      <c r="C59" s="506"/>
      <c r="D59" s="507"/>
      <c r="E59" s="508"/>
      <c r="F59" s="509"/>
      <c r="G59" s="510"/>
      <c r="H59" s="507"/>
      <c r="I59" s="508"/>
      <c r="J59" s="434"/>
      <c r="K59" s="434"/>
      <c r="L59" s="434"/>
      <c r="M59" s="434"/>
      <c r="N59" s="434"/>
      <c r="O59" s="434"/>
      <c r="P59" s="434"/>
      <c r="Q59" s="434"/>
      <c r="R59" s="434"/>
      <c r="S59" s="434"/>
      <c r="T59" s="434"/>
      <c r="U59" s="434"/>
      <c r="V59" s="434"/>
    </row>
    <row r="60">
      <c r="A60" s="504"/>
      <c r="B60" s="505"/>
      <c r="C60" s="506"/>
      <c r="D60" s="507"/>
      <c r="E60" s="508"/>
      <c r="F60" s="509"/>
      <c r="G60" s="510"/>
      <c r="H60" s="507"/>
      <c r="I60" s="508"/>
      <c r="J60" s="434"/>
      <c r="K60" s="434"/>
      <c r="L60" s="434"/>
      <c r="M60" s="434"/>
      <c r="N60" s="434"/>
      <c r="O60" s="434"/>
      <c r="P60" s="434"/>
      <c r="Q60" s="434"/>
      <c r="R60" s="434"/>
      <c r="S60" s="434"/>
      <c r="T60" s="434"/>
      <c r="U60" s="434"/>
      <c r="V60" s="434"/>
    </row>
    <row r="61">
      <c r="A61" s="504"/>
      <c r="B61" s="505"/>
      <c r="C61" s="506"/>
      <c r="D61" s="507"/>
      <c r="E61" s="508"/>
      <c r="F61" s="509"/>
      <c r="G61" s="510"/>
      <c r="H61" s="507"/>
      <c r="I61" s="508"/>
      <c r="J61" s="434"/>
      <c r="K61" s="434"/>
      <c r="L61" s="434"/>
      <c r="M61" s="434"/>
      <c r="N61" s="434"/>
      <c r="O61" s="434"/>
      <c r="P61" s="434"/>
      <c r="Q61" s="434"/>
      <c r="R61" s="434"/>
      <c r="S61" s="434"/>
      <c r="T61" s="434"/>
      <c r="U61" s="434"/>
      <c r="V61" s="434"/>
    </row>
    <row r="62">
      <c r="A62" s="504"/>
      <c r="B62" s="505"/>
      <c r="C62" s="506"/>
      <c r="D62" s="507"/>
      <c r="E62" s="508"/>
      <c r="F62" s="509"/>
      <c r="G62" s="510"/>
      <c r="H62" s="507"/>
      <c r="I62" s="508"/>
      <c r="J62" s="434"/>
      <c r="K62" s="434"/>
      <c r="L62" s="434"/>
      <c r="M62" s="434"/>
      <c r="N62" s="434"/>
      <c r="O62" s="434"/>
      <c r="P62" s="434"/>
      <c r="Q62" s="434"/>
      <c r="R62" s="434"/>
      <c r="S62" s="434"/>
      <c r="T62" s="434"/>
      <c r="U62" s="434"/>
      <c r="V62" s="434"/>
    </row>
    <row r="63">
      <c r="A63" s="504"/>
      <c r="B63" s="505"/>
      <c r="C63" s="506"/>
      <c r="D63" s="507"/>
      <c r="E63" s="508"/>
      <c r="F63" s="509"/>
      <c r="G63" s="510"/>
      <c r="H63" s="507"/>
      <c r="I63" s="508"/>
      <c r="J63" s="434"/>
      <c r="K63" s="434"/>
      <c r="L63" s="434"/>
      <c r="M63" s="434"/>
      <c r="N63" s="434"/>
      <c r="O63" s="434"/>
      <c r="P63" s="434"/>
      <c r="Q63" s="434"/>
      <c r="R63" s="434"/>
      <c r="S63" s="434"/>
      <c r="T63" s="434"/>
      <c r="U63" s="434"/>
      <c r="V63" s="434"/>
    </row>
    <row r="64">
      <c r="A64" s="504"/>
      <c r="B64" s="505"/>
      <c r="C64" s="506"/>
      <c r="D64" s="507"/>
      <c r="E64" s="508"/>
      <c r="F64" s="509"/>
      <c r="G64" s="510"/>
      <c r="H64" s="507"/>
      <c r="I64" s="508"/>
      <c r="J64" s="434"/>
      <c r="K64" s="434"/>
      <c r="L64" s="434"/>
      <c r="M64" s="434"/>
      <c r="N64" s="434"/>
      <c r="O64" s="434"/>
      <c r="P64" s="434"/>
      <c r="Q64" s="434"/>
      <c r="R64" s="434"/>
      <c r="S64" s="434"/>
      <c r="T64" s="434"/>
      <c r="U64" s="434"/>
      <c r="V64" s="434"/>
    </row>
    <row r="65">
      <c r="A65" s="504"/>
      <c r="B65" s="505"/>
      <c r="C65" s="506"/>
      <c r="D65" s="507"/>
      <c r="E65" s="508"/>
      <c r="F65" s="509"/>
      <c r="G65" s="510"/>
      <c r="H65" s="507"/>
      <c r="I65" s="508"/>
      <c r="J65" s="434"/>
      <c r="K65" s="434"/>
      <c r="L65" s="434"/>
      <c r="M65" s="434"/>
      <c r="N65" s="434"/>
      <c r="O65" s="434"/>
      <c r="P65" s="434"/>
      <c r="Q65" s="434"/>
      <c r="R65" s="434"/>
      <c r="S65" s="434"/>
      <c r="T65" s="434"/>
      <c r="U65" s="434"/>
      <c r="V65" s="434"/>
    </row>
    <row r="66">
      <c r="A66" s="504"/>
      <c r="B66" s="505"/>
      <c r="C66" s="506"/>
      <c r="D66" s="507"/>
      <c r="E66" s="508"/>
      <c r="F66" s="509"/>
      <c r="G66" s="510"/>
      <c r="H66" s="507"/>
      <c r="I66" s="508"/>
      <c r="J66" s="434"/>
      <c r="K66" s="434"/>
      <c r="L66" s="434"/>
      <c r="M66" s="434"/>
      <c r="N66" s="434"/>
      <c r="O66" s="434"/>
      <c r="P66" s="434"/>
      <c r="Q66" s="434"/>
      <c r="R66" s="434"/>
      <c r="S66" s="434"/>
      <c r="T66" s="434"/>
      <c r="U66" s="434"/>
      <c r="V66" s="434"/>
    </row>
    <row r="67">
      <c r="A67" s="504"/>
      <c r="B67" s="505"/>
      <c r="C67" s="506"/>
      <c r="D67" s="507"/>
      <c r="E67" s="508"/>
      <c r="F67" s="509"/>
      <c r="G67" s="510"/>
      <c r="H67" s="507"/>
      <c r="I67" s="508"/>
      <c r="J67" s="434"/>
      <c r="K67" s="434"/>
      <c r="L67" s="434"/>
      <c r="M67" s="434"/>
      <c r="N67" s="434"/>
      <c r="O67" s="434"/>
      <c r="P67" s="434"/>
      <c r="Q67" s="434"/>
      <c r="R67" s="434"/>
      <c r="S67" s="434"/>
      <c r="T67" s="434"/>
      <c r="U67" s="434"/>
      <c r="V67" s="434"/>
    </row>
    <row r="68">
      <c r="A68" s="504"/>
      <c r="B68" s="505"/>
      <c r="C68" s="506"/>
      <c r="D68" s="507"/>
      <c r="E68" s="508"/>
      <c r="F68" s="509"/>
      <c r="G68" s="510"/>
      <c r="H68" s="507"/>
      <c r="I68" s="508"/>
      <c r="J68" s="434"/>
      <c r="K68" s="434"/>
      <c r="L68" s="434"/>
      <c r="M68" s="434"/>
      <c r="N68" s="434"/>
      <c r="O68" s="434"/>
      <c r="P68" s="434"/>
      <c r="Q68" s="434"/>
      <c r="R68" s="434"/>
      <c r="S68" s="434"/>
      <c r="T68" s="434"/>
      <c r="U68" s="434"/>
      <c r="V68" s="434"/>
    </row>
    <row r="69">
      <c r="A69" s="504"/>
      <c r="B69" s="505"/>
      <c r="C69" s="506"/>
      <c r="D69" s="507"/>
      <c r="E69" s="508"/>
      <c r="F69" s="509"/>
      <c r="G69" s="510"/>
      <c r="H69" s="507"/>
      <c r="I69" s="508"/>
      <c r="J69" s="434"/>
      <c r="K69" s="434"/>
      <c r="L69" s="434"/>
      <c r="M69" s="434"/>
      <c r="N69" s="434"/>
      <c r="O69" s="434"/>
      <c r="P69" s="434"/>
      <c r="Q69" s="434"/>
      <c r="R69" s="434"/>
      <c r="S69" s="434"/>
      <c r="T69" s="434"/>
      <c r="U69" s="434"/>
      <c r="V69" s="434"/>
    </row>
    <row r="70">
      <c r="A70" s="504"/>
      <c r="B70" s="505"/>
      <c r="C70" s="506"/>
      <c r="D70" s="507"/>
      <c r="E70" s="508"/>
      <c r="F70" s="509"/>
      <c r="G70" s="510"/>
      <c r="H70" s="507"/>
      <c r="I70" s="508"/>
      <c r="J70" s="434"/>
      <c r="K70" s="434"/>
      <c r="L70" s="434"/>
      <c r="M70" s="434"/>
      <c r="N70" s="434"/>
      <c r="O70" s="434"/>
      <c r="P70" s="434"/>
      <c r="Q70" s="434"/>
      <c r="R70" s="434"/>
      <c r="S70" s="434"/>
      <c r="T70" s="434"/>
      <c r="U70" s="434"/>
      <c r="V70" s="434"/>
    </row>
    <row r="71">
      <c r="A71" s="504"/>
      <c r="B71" s="505"/>
      <c r="C71" s="506"/>
      <c r="D71" s="507"/>
      <c r="E71" s="508"/>
      <c r="F71" s="509"/>
      <c r="G71" s="510"/>
      <c r="H71" s="507"/>
      <c r="I71" s="508"/>
      <c r="J71" s="434"/>
      <c r="K71" s="434"/>
      <c r="L71" s="434"/>
      <c r="M71" s="434"/>
      <c r="N71" s="434"/>
      <c r="O71" s="434"/>
      <c r="P71" s="434"/>
      <c r="Q71" s="434"/>
      <c r="R71" s="434"/>
      <c r="S71" s="434"/>
      <c r="T71" s="434"/>
      <c r="U71" s="434"/>
      <c r="V71" s="434"/>
    </row>
    <row r="72">
      <c r="A72" s="504"/>
      <c r="B72" s="505"/>
      <c r="C72" s="506"/>
      <c r="D72" s="507"/>
      <c r="E72" s="508"/>
      <c r="F72" s="509"/>
      <c r="G72" s="510"/>
      <c r="H72" s="507"/>
      <c r="I72" s="508"/>
      <c r="J72" s="434"/>
      <c r="K72" s="434"/>
      <c r="L72" s="434"/>
      <c r="M72" s="434"/>
      <c r="N72" s="434"/>
      <c r="O72" s="434"/>
      <c r="P72" s="434"/>
      <c r="Q72" s="434"/>
      <c r="R72" s="434"/>
      <c r="S72" s="434"/>
      <c r="T72" s="434"/>
      <c r="U72" s="434"/>
      <c r="V72" s="434"/>
    </row>
    <row r="73">
      <c r="A73" s="504"/>
      <c r="B73" s="505"/>
      <c r="C73" s="506"/>
      <c r="D73" s="507"/>
      <c r="E73" s="508"/>
      <c r="F73" s="509"/>
      <c r="G73" s="510"/>
      <c r="H73" s="507"/>
      <c r="I73" s="508"/>
      <c r="J73" s="434"/>
      <c r="K73" s="434"/>
      <c r="L73" s="434"/>
      <c r="M73" s="434"/>
      <c r="N73" s="434"/>
      <c r="O73" s="434"/>
      <c r="P73" s="434"/>
      <c r="Q73" s="434"/>
      <c r="R73" s="434"/>
      <c r="S73" s="434"/>
      <c r="T73" s="434"/>
      <c r="U73" s="434"/>
      <c r="V73" s="434"/>
    </row>
    <row r="74">
      <c r="A74" s="504"/>
      <c r="B74" s="505"/>
      <c r="C74" s="506"/>
      <c r="D74" s="507"/>
      <c r="E74" s="508"/>
      <c r="F74" s="509"/>
      <c r="G74" s="510"/>
      <c r="H74" s="507"/>
      <c r="I74" s="508"/>
      <c r="J74" s="434"/>
      <c r="K74" s="434"/>
      <c r="L74" s="434"/>
      <c r="M74" s="434"/>
      <c r="N74" s="434"/>
      <c r="O74" s="434"/>
      <c r="P74" s="434"/>
      <c r="Q74" s="434"/>
      <c r="R74" s="434"/>
      <c r="S74" s="434"/>
      <c r="T74" s="434"/>
      <c r="U74" s="434"/>
      <c r="V74" s="434"/>
    </row>
    <row r="75">
      <c r="A75" s="504"/>
      <c r="B75" s="505"/>
      <c r="C75" s="506"/>
      <c r="D75" s="507"/>
      <c r="E75" s="508"/>
      <c r="F75" s="509"/>
      <c r="G75" s="510"/>
      <c r="H75" s="507"/>
      <c r="I75" s="508"/>
      <c r="J75" s="434"/>
      <c r="K75" s="434"/>
      <c r="L75" s="434"/>
      <c r="M75" s="434"/>
      <c r="N75" s="434"/>
      <c r="O75" s="434"/>
      <c r="P75" s="434"/>
      <c r="Q75" s="434"/>
      <c r="R75" s="434"/>
      <c r="S75" s="434"/>
      <c r="T75" s="434"/>
      <c r="U75" s="434"/>
      <c r="V75" s="434"/>
    </row>
    <row r="76">
      <c r="A76" s="504"/>
      <c r="B76" s="505"/>
      <c r="C76" s="506"/>
      <c r="D76" s="507"/>
      <c r="E76" s="508"/>
      <c r="F76" s="509"/>
      <c r="G76" s="510"/>
      <c r="H76" s="507"/>
      <c r="I76" s="508"/>
      <c r="J76" s="434"/>
      <c r="K76" s="434"/>
      <c r="L76" s="434"/>
      <c r="M76" s="434"/>
      <c r="N76" s="434"/>
      <c r="O76" s="434"/>
      <c r="P76" s="434"/>
      <c r="Q76" s="434"/>
      <c r="R76" s="434"/>
      <c r="S76" s="434"/>
      <c r="T76" s="434"/>
      <c r="U76" s="434"/>
      <c r="V76" s="434"/>
    </row>
    <row r="77">
      <c r="A77" s="504"/>
      <c r="B77" s="505"/>
      <c r="C77" s="506"/>
      <c r="D77" s="507"/>
      <c r="E77" s="508"/>
      <c r="F77" s="509"/>
      <c r="G77" s="510"/>
      <c r="H77" s="507"/>
      <c r="I77" s="508"/>
      <c r="J77" s="434"/>
      <c r="K77" s="434"/>
      <c r="L77" s="434"/>
      <c r="M77" s="434"/>
      <c r="N77" s="434"/>
      <c r="O77" s="434"/>
      <c r="P77" s="434"/>
      <c r="Q77" s="434"/>
      <c r="R77" s="434"/>
      <c r="S77" s="434"/>
      <c r="T77" s="434"/>
      <c r="U77" s="434"/>
      <c r="V77" s="434"/>
    </row>
    <row r="78">
      <c r="A78" s="504"/>
      <c r="B78" s="505"/>
      <c r="C78" s="506"/>
      <c r="D78" s="507"/>
      <c r="E78" s="508"/>
      <c r="F78" s="509"/>
      <c r="G78" s="510"/>
      <c r="H78" s="507"/>
      <c r="I78" s="508"/>
      <c r="J78" s="434"/>
      <c r="K78" s="434"/>
      <c r="L78" s="434"/>
      <c r="M78" s="434"/>
      <c r="N78" s="434"/>
      <c r="O78" s="434"/>
      <c r="P78" s="434"/>
      <c r="Q78" s="434"/>
      <c r="R78" s="434"/>
      <c r="S78" s="434"/>
      <c r="T78" s="434"/>
      <c r="U78" s="434"/>
      <c r="V78" s="434"/>
    </row>
    <row r="79">
      <c r="A79" s="504"/>
      <c r="B79" s="505"/>
      <c r="C79" s="506"/>
      <c r="D79" s="507"/>
      <c r="E79" s="508"/>
      <c r="F79" s="509"/>
      <c r="G79" s="510"/>
      <c r="H79" s="507"/>
      <c r="I79" s="508"/>
      <c r="J79" s="434"/>
      <c r="K79" s="434"/>
      <c r="L79" s="434"/>
      <c r="M79" s="434"/>
      <c r="N79" s="434"/>
      <c r="O79" s="434"/>
      <c r="P79" s="434"/>
      <c r="Q79" s="434"/>
      <c r="R79" s="434"/>
      <c r="S79" s="434"/>
      <c r="T79" s="434"/>
      <c r="U79" s="434"/>
      <c r="V79" s="434"/>
    </row>
    <row r="80">
      <c r="A80" s="504"/>
      <c r="B80" s="505"/>
      <c r="C80" s="506"/>
      <c r="D80" s="507"/>
      <c r="E80" s="508"/>
      <c r="F80" s="509"/>
      <c r="G80" s="510"/>
      <c r="H80" s="507"/>
      <c r="I80" s="508"/>
      <c r="J80" s="434"/>
      <c r="K80" s="434"/>
      <c r="L80" s="434"/>
      <c r="M80" s="434"/>
      <c r="N80" s="434"/>
      <c r="O80" s="434"/>
      <c r="P80" s="434"/>
      <c r="Q80" s="434"/>
      <c r="R80" s="434"/>
      <c r="S80" s="434"/>
      <c r="T80" s="434"/>
      <c r="U80" s="434"/>
      <c r="V80" s="434"/>
    </row>
    <row r="81">
      <c r="A81" s="504"/>
      <c r="B81" s="505"/>
      <c r="C81" s="506"/>
      <c r="D81" s="507"/>
      <c r="E81" s="508"/>
      <c r="F81" s="509"/>
      <c r="G81" s="510"/>
      <c r="H81" s="507"/>
      <c r="I81" s="508"/>
      <c r="J81" s="434"/>
      <c r="K81" s="434"/>
      <c r="L81" s="434"/>
      <c r="M81" s="434"/>
      <c r="N81" s="434"/>
      <c r="O81" s="434"/>
      <c r="P81" s="434"/>
      <c r="Q81" s="434"/>
      <c r="R81" s="434"/>
      <c r="S81" s="434"/>
      <c r="T81" s="434"/>
      <c r="U81" s="434"/>
      <c r="V81" s="434"/>
    </row>
    <row r="82">
      <c r="A82" s="504"/>
      <c r="B82" s="505"/>
      <c r="C82" s="506"/>
      <c r="D82" s="507"/>
      <c r="E82" s="508"/>
      <c r="F82" s="509"/>
      <c r="G82" s="510"/>
      <c r="H82" s="507"/>
      <c r="I82" s="508"/>
      <c r="J82" s="434"/>
      <c r="K82" s="434"/>
      <c r="L82" s="434"/>
      <c r="M82" s="434"/>
      <c r="N82" s="434"/>
      <c r="O82" s="434"/>
      <c r="P82" s="434"/>
      <c r="Q82" s="434"/>
      <c r="R82" s="434"/>
      <c r="S82" s="434"/>
      <c r="T82" s="434"/>
      <c r="U82" s="434"/>
      <c r="V82" s="434"/>
    </row>
    <row r="83">
      <c r="A83" s="504"/>
      <c r="B83" s="505"/>
      <c r="C83" s="506"/>
      <c r="D83" s="507"/>
      <c r="E83" s="508"/>
      <c r="F83" s="509"/>
      <c r="G83" s="510"/>
      <c r="H83" s="507"/>
      <c r="I83" s="508"/>
      <c r="J83" s="434"/>
      <c r="K83" s="434"/>
      <c r="L83" s="434"/>
      <c r="M83" s="434"/>
      <c r="N83" s="434"/>
      <c r="O83" s="434"/>
      <c r="P83" s="434"/>
      <c r="Q83" s="434"/>
      <c r="R83" s="434"/>
      <c r="S83" s="434"/>
      <c r="T83" s="434"/>
      <c r="U83" s="434"/>
      <c r="V83" s="434"/>
    </row>
    <row r="84">
      <c r="A84" s="504"/>
      <c r="B84" s="505"/>
      <c r="C84" s="506"/>
      <c r="D84" s="507"/>
      <c r="E84" s="508"/>
      <c r="F84" s="509"/>
      <c r="G84" s="510"/>
      <c r="H84" s="507"/>
      <c r="I84" s="508"/>
      <c r="J84" s="434"/>
      <c r="K84" s="434"/>
      <c r="L84" s="434"/>
      <c r="M84" s="434"/>
      <c r="N84" s="434"/>
      <c r="O84" s="434"/>
      <c r="P84" s="434"/>
      <c r="Q84" s="434"/>
      <c r="R84" s="434"/>
      <c r="S84" s="434"/>
      <c r="T84" s="434"/>
      <c r="U84" s="434"/>
      <c r="V84" s="434"/>
    </row>
    <row r="85">
      <c r="A85" s="504"/>
      <c r="B85" s="505"/>
      <c r="C85" s="506"/>
      <c r="D85" s="507"/>
      <c r="E85" s="508"/>
      <c r="F85" s="509"/>
      <c r="G85" s="510"/>
      <c r="H85" s="507"/>
      <c r="I85" s="508"/>
      <c r="J85" s="434"/>
      <c r="K85" s="434"/>
      <c r="L85" s="434"/>
      <c r="M85" s="434"/>
      <c r="N85" s="434"/>
      <c r="O85" s="434"/>
      <c r="P85" s="434"/>
      <c r="Q85" s="434"/>
      <c r="R85" s="434"/>
      <c r="S85" s="434"/>
      <c r="T85" s="434"/>
      <c r="U85" s="434"/>
      <c r="V85" s="434"/>
    </row>
    <row r="86">
      <c r="A86" s="504"/>
      <c r="B86" s="505"/>
      <c r="C86" s="506"/>
      <c r="D86" s="507"/>
      <c r="E86" s="508"/>
      <c r="F86" s="509"/>
      <c r="G86" s="510"/>
      <c r="H86" s="507"/>
      <c r="I86" s="508"/>
      <c r="J86" s="434"/>
      <c r="K86" s="434"/>
      <c r="L86" s="434"/>
      <c r="M86" s="434"/>
      <c r="N86" s="434"/>
      <c r="O86" s="434"/>
      <c r="P86" s="434"/>
      <c r="Q86" s="434"/>
      <c r="R86" s="434"/>
      <c r="S86" s="434"/>
      <c r="T86" s="434"/>
      <c r="U86" s="434"/>
      <c r="V86" s="434"/>
    </row>
    <row r="87">
      <c r="A87" s="504"/>
      <c r="B87" s="505"/>
      <c r="C87" s="506"/>
      <c r="D87" s="507"/>
      <c r="E87" s="508"/>
      <c r="F87" s="509"/>
      <c r="G87" s="510"/>
      <c r="H87" s="507"/>
      <c r="I87" s="508"/>
      <c r="J87" s="434"/>
      <c r="K87" s="434"/>
      <c r="L87" s="434"/>
      <c r="M87" s="434"/>
      <c r="N87" s="434"/>
      <c r="O87" s="434"/>
      <c r="P87" s="434"/>
      <c r="Q87" s="434"/>
      <c r="R87" s="434"/>
      <c r="S87" s="434"/>
      <c r="T87" s="434"/>
      <c r="U87" s="434"/>
      <c r="V87" s="434"/>
    </row>
    <row r="88">
      <c r="A88" s="504"/>
      <c r="B88" s="505"/>
      <c r="C88" s="506"/>
      <c r="D88" s="507"/>
      <c r="E88" s="508"/>
      <c r="F88" s="509"/>
      <c r="G88" s="510"/>
      <c r="H88" s="507"/>
      <c r="I88" s="508"/>
      <c r="J88" s="434"/>
      <c r="K88" s="434"/>
      <c r="L88" s="434"/>
      <c r="M88" s="434"/>
      <c r="N88" s="434"/>
      <c r="O88" s="434"/>
      <c r="P88" s="434"/>
      <c r="Q88" s="434"/>
      <c r="R88" s="434"/>
      <c r="S88" s="434"/>
      <c r="T88" s="434"/>
      <c r="U88" s="434"/>
      <c r="V88" s="434"/>
    </row>
    <row r="89">
      <c r="A89" s="504"/>
      <c r="B89" s="505"/>
      <c r="C89" s="506"/>
      <c r="D89" s="507"/>
      <c r="E89" s="508"/>
      <c r="F89" s="509"/>
      <c r="G89" s="510"/>
      <c r="H89" s="507"/>
      <c r="I89" s="508"/>
      <c r="J89" s="434"/>
      <c r="K89" s="434"/>
      <c r="L89" s="434"/>
      <c r="M89" s="434"/>
      <c r="N89" s="434"/>
      <c r="O89" s="434"/>
      <c r="P89" s="434"/>
      <c r="Q89" s="434"/>
      <c r="R89" s="434"/>
      <c r="S89" s="434"/>
      <c r="T89" s="434"/>
      <c r="U89" s="434"/>
      <c r="V89" s="434"/>
    </row>
    <row r="90">
      <c r="A90" s="504"/>
      <c r="B90" s="505"/>
      <c r="C90" s="506"/>
      <c r="D90" s="507"/>
      <c r="E90" s="508"/>
      <c r="F90" s="509"/>
      <c r="G90" s="510"/>
      <c r="H90" s="507"/>
      <c r="I90" s="508"/>
      <c r="J90" s="434"/>
      <c r="K90" s="434"/>
      <c r="L90" s="434"/>
      <c r="M90" s="434"/>
      <c r="N90" s="434"/>
      <c r="O90" s="434"/>
      <c r="P90" s="434"/>
      <c r="Q90" s="434"/>
      <c r="R90" s="434"/>
      <c r="S90" s="434"/>
      <c r="T90" s="434"/>
      <c r="U90" s="434"/>
      <c r="V90" s="434"/>
    </row>
    <row r="91">
      <c r="A91" s="504"/>
      <c r="B91" s="505"/>
      <c r="C91" s="506"/>
      <c r="D91" s="507"/>
      <c r="E91" s="508"/>
      <c r="F91" s="509"/>
      <c r="G91" s="510"/>
      <c r="H91" s="507"/>
      <c r="I91" s="508"/>
      <c r="J91" s="434"/>
      <c r="K91" s="434"/>
      <c r="L91" s="434"/>
      <c r="M91" s="434"/>
      <c r="N91" s="434"/>
      <c r="O91" s="434"/>
      <c r="P91" s="434"/>
      <c r="Q91" s="434"/>
      <c r="R91" s="434"/>
      <c r="S91" s="434"/>
      <c r="T91" s="434"/>
      <c r="U91" s="434"/>
      <c r="V91" s="434"/>
    </row>
    <row r="92">
      <c r="A92" s="504"/>
      <c r="B92" s="505"/>
      <c r="C92" s="506"/>
      <c r="D92" s="507"/>
      <c r="E92" s="508"/>
      <c r="F92" s="509"/>
      <c r="G92" s="510"/>
      <c r="H92" s="507"/>
      <c r="I92" s="508"/>
      <c r="J92" s="434"/>
      <c r="K92" s="434"/>
      <c r="L92" s="434"/>
      <c r="M92" s="434"/>
      <c r="N92" s="434"/>
      <c r="O92" s="434"/>
      <c r="P92" s="434"/>
      <c r="Q92" s="434"/>
      <c r="R92" s="434"/>
      <c r="S92" s="434"/>
      <c r="T92" s="434"/>
      <c r="U92" s="434"/>
      <c r="V92" s="434"/>
    </row>
    <row r="93">
      <c r="A93" s="504"/>
      <c r="B93" s="505"/>
      <c r="C93" s="506"/>
      <c r="D93" s="507"/>
      <c r="E93" s="508"/>
      <c r="F93" s="509"/>
      <c r="G93" s="510"/>
      <c r="H93" s="507"/>
      <c r="I93" s="508"/>
      <c r="J93" s="434"/>
      <c r="K93" s="434"/>
      <c r="L93" s="434"/>
      <c r="M93" s="434"/>
      <c r="N93" s="434"/>
      <c r="O93" s="434"/>
      <c r="P93" s="434"/>
      <c r="Q93" s="434"/>
      <c r="R93" s="434"/>
      <c r="S93" s="434"/>
      <c r="T93" s="434"/>
      <c r="U93" s="434"/>
      <c r="V93" s="434"/>
    </row>
    <row r="94">
      <c r="A94" s="504"/>
      <c r="B94" s="505"/>
      <c r="C94" s="506"/>
      <c r="D94" s="507"/>
      <c r="E94" s="508"/>
      <c r="F94" s="509"/>
      <c r="G94" s="510"/>
      <c r="H94" s="507"/>
      <c r="I94" s="508"/>
      <c r="J94" s="434"/>
      <c r="K94" s="434"/>
      <c r="L94" s="434"/>
      <c r="M94" s="434"/>
      <c r="N94" s="434"/>
      <c r="O94" s="434"/>
      <c r="P94" s="434"/>
      <c r="Q94" s="434"/>
      <c r="R94" s="434"/>
      <c r="S94" s="434"/>
      <c r="T94" s="434"/>
      <c r="U94" s="434"/>
      <c r="V94" s="434"/>
    </row>
    <row r="95">
      <c r="A95" s="504"/>
      <c r="B95" s="505"/>
      <c r="C95" s="506"/>
      <c r="D95" s="507"/>
      <c r="E95" s="508"/>
      <c r="F95" s="509"/>
      <c r="G95" s="510"/>
      <c r="H95" s="507"/>
      <c r="I95" s="508"/>
      <c r="J95" s="434"/>
      <c r="K95" s="434"/>
      <c r="L95" s="434"/>
      <c r="M95" s="434"/>
      <c r="N95" s="434"/>
      <c r="O95" s="434"/>
      <c r="P95" s="434"/>
      <c r="Q95" s="434"/>
      <c r="R95" s="434"/>
      <c r="S95" s="434"/>
      <c r="T95" s="434"/>
      <c r="U95" s="434"/>
      <c r="V95" s="434"/>
    </row>
    <row r="96">
      <c r="A96" s="504"/>
      <c r="B96" s="505"/>
      <c r="C96" s="506"/>
      <c r="D96" s="507"/>
      <c r="E96" s="508"/>
      <c r="F96" s="509"/>
      <c r="G96" s="510"/>
      <c r="H96" s="507"/>
      <c r="I96" s="508"/>
      <c r="J96" s="434"/>
      <c r="K96" s="434"/>
      <c r="L96" s="434"/>
      <c r="M96" s="434"/>
      <c r="N96" s="434"/>
      <c r="O96" s="434"/>
      <c r="P96" s="434"/>
      <c r="Q96" s="434"/>
      <c r="R96" s="434"/>
      <c r="S96" s="434"/>
      <c r="T96" s="434"/>
      <c r="U96" s="434"/>
      <c r="V96" s="434"/>
    </row>
    <row r="97">
      <c r="A97" s="504"/>
      <c r="B97" s="505"/>
      <c r="C97" s="506"/>
      <c r="D97" s="507"/>
      <c r="E97" s="508"/>
      <c r="F97" s="509"/>
      <c r="G97" s="510"/>
      <c r="H97" s="507"/>
      <c r="I97" s="508"/>
      <c r="J97" s="434"/>
      <c r="K97" s="434"/>
      <c r="L97" s="434"/>
      <c r="M97" s="434"/>
      <c r="N97" s="434"/>
      <c r="O97" s="434"/>
      <c r="P97" s="434"/>
      <c r="Q97" s="434"/>
      <c r="R97" s="434"/>
      <c r="S97" s="434"/>
      <c r="T97" s="434"/>
      <c r="U97" s="434"/>
      <c r="V97" s="434"/>
    </row>
    <row r="98">
      <c r="A98" s="504"/>
      <c r="B98" s="505"/>
      <c r="C98" s="506"/>
      <c r="D98" s="507"/>
      <c r="E98" s="508"/>
      <c r="F98" s="509"/>
      <c r="G98" s="510"/>
      <c r="H98" s="507"/>
      <c r="I98" s="508"/>
      <c r="J98" s="434"/>
      <c r="K98" s="434"/>
      <c r="L98" s="434"/>
      <c r="M98" s="434"/>
      <c r="N98" s="434"/>
      <c r="O98" s="434"/>
      <c r="P98" s="434"/>
      <c r="Q98" s="434"/>
      <c r="R98" s="434"/>
      <c r="S98" s="434"/>
      <c r="T98" s="434"/>
      <c r="U98" s="434"/>
      <c r="V98" s="434"/>
    </row>
    <row r="99">
      <c r="A99" s="504"/>
      <c r="B99" s="505"/>
      <c r="C99" s="506"/>
      <c r="D99" s="507"/>
      <c r="E99" s="508"/>
      <c r="F99" s="509"/>
      <c r="G99" s="510"/>
      <c r="H99" s="507"/>
      <c r="I99" s="508"/>
      <c r="J99" s="434"/>
      <c r="K99" s="434"/>
      <c r="L99" s="434"/>
      <c r="M99" s="434"/>
      <c r="N99" s="434"/>
      <c r="O99" s="434"/>
      <c r="P99" s="434"/>
      <c r="Q99" s="434"/>
      <c r="R99" s="434"/>
      <c r="S99" s="434"/>
      <c r="T99" s="434"/>
      <c r="U99" s="434"/>
      <c r="V99" s="434"/>
    </row>
    <row r="100">
      <c r="A100" s="504"/>
      <c r="B100" s="505"/>
      <c r="C100" s="506"/>
      <c r="D100" s="507"/>
      <c r="E100" s="508"/>
      <c r="F100" s="509"/>
      <c r="G100" s="510"/>
      <c r="H100" s="507"/>
      <c r="I100" s="508"/>
      <c r="J100" s="434"/>
      <c r="K100" s="434"/>
      <c r="L100" s="434"/>
      <c r="M100" s="434"/>
      <c r="N100" s="434"/>
      <c r="O100" s="434"/>
      <c r="P100" s="434"/>
      <c r="Q100" s="434"/>
      <c r="R100" s="434"/>
      <c r="S100" s="434"/>
      <c r="T100" s="434"/>
      <c r="U100" s="434"/>
      <c r="V100" s="434"/>
    </row>
    <row r="101">
      <c r="A101" s="504"/>
      <c r="B101" s="505"/>
      <c r="C101" s="506"/>
      <c r="D101" s="507"/>
      <c r="E101" s="508"/>
      <c r="F101" s="509"/>
      <c r="G101" s="510"/>
      <c r="H101" s="507"/>
      <c r="I101" s="508"/>
      <c r="J101" s="434"/>
      <c r="K101" s="434"/>
      <c r="L101" s="434"/>
      <c r="M101" s="434"/>
      <c r="N101" s="434"/>
      <c r="O101" s="434"/>
      <c r="P101" s="434"/>
      <c r="Q101" s="434"/>
      <c r="R101" s="434"/>
      <c r="S101" s="434"/>
      <c r="T101" s="434"/>
      <c r="U101" s="434"/>
      <c r="V101" s="434"/>
    </row>
    <row r="102">
      <c r="A102" s="504"/>
      <c r="B102" s="505"/>
      <c r="C102" s="506"/>
      <c r="D102" s="507"/>
      <c r="E102" s="508"/>
      <c r="F102" s="509"/>
      <c r="G102" s="510"/>
      <c r="H102" s="507"/>
      <c r="I102" s="508"/>
      <c r="J102" s="434"/>
      <c r="K102" s="434"/>
      <c r="L102" s="434"/>
      <c r="M102" s="434"/>
      <c r="N102" s="434"/>
      <c r="O102" s="434"/>
      <c r="P102" s="434"/>
      <c r="Q102" s="434"/>
      <c r="R102" s="434"/>
      <c r="S102" s="434"/>
      <c r="T102" s="434"/>
      <c r="U102" s="434"/>
      <c r="V102" s="434"/>
    </row>
    <row r="103">
      <c r="A103" s="504"/>
      <c r="B103" s="505"/>
      <c r="C103" s="506"/>
      <c r="D103" s="507"/>
      <c r="E103" s="508"/>
      <c r="F103" s="509"/>
      <c r="G103" s="510"/>
      <c r="H103" s="507"/>
      <c r="I103" s="508"/>
      <c r="J103" s="434"/>
      <c r="K103" s="434"/>
      <c r="L103" s="434"/>
      <c r="M103" s="434"/>
      <c r="N103" s="434"/>
      <c r="O103" s="434"/>
      <c r="P103" s="434"/>
      <c r="Q103" s="434"/>
      <c r="R103" s="434"/>
      <c r="S103" s="434"/>
      <c r="T103" s="434"/>
      <c r="U103" s="434"/>
      <c r="V103" s="434"/>
    </row>
    <row r="104">
      <c r="A104" s="504"/>
      <c r="B104" s="505"/>
      <c r="C104" s="506"/>
      <c r="D104" s="507"/>
      <c r="E104" s="508"/>
      <c r="F104" s="509"/>
      <c r="G104" s="510"/>
      <c r="H104" s="507"/>
      <c r="I104" s="508"/>
      <c r="J104" s="434"/>
      <c r="K104" s="434"/>
      <c r="L104" s="434"/>
      <c r="M104" s="434"/>
      <c r="N104" s="434"/>
      <c r="O104" s="434"/>
      <c r="P104" s="434"/>
      <c r="Q104" s="434"/>
      <c r="R104" s="434"/>
      <c r="S104" s="434"/>
      <c r="T104" s="434"/>
      <c r="U104" s="434"/>
      <c r="V104" s="434"/>
    </row>
    <row r="105">
      <c r="A105" s="504"/>
      <c r="B105" s="505"/>
      <c r="C105" s="506"/>
      <c r="D105" s="507"/>
      <c r="E105" s="508"/>
      <c r="F105" s="509"/>
      <c r="G105" s="510"/>
      <c r="H105" s="507"/>
      <c r="I105" s="508"/>
      <c r="J105" s="434"/>
      <c r="K105" s="434"/>
      <c r="L105" s="434"/>
      <c r="M105" s="434"/>
      <c r="N105" s="434"/>
      <c r="O105" s="434"/>
      <c r="P105" s="434"/>
      <c r="Q105" s="434"/>
      <c r="R105" s="434"/>
      <c r="S105" s="434"/>
      <c r="T105" s="434"/>
      <c r="U105" s="434"/>
      <c r="V105" s="434"/>
    </row>
    <row r="106">
      <c r="A106" s="504"/>
      <c r="B106" s="505"/>
      <c r="C106" s="506"/>
      <c r="D106" s="507"/>
      <c r="E106" s="508"/>
      <c r="F106" s="509"/>
      <c r="G106" s="510"/>
      <c r="H106" s="507"/>
      <c r="I106" s="508"/>
      <c r="J106" s="434"/>
      <c r="K106" s="434"/>
      <c r="L106" s="434"/>
      <c r="M106" s="434"/>
      <c r="N106" s="434"/>
      <c r="O106" s="434"/>
      <c r="P106" s="434"/>
      <c r="Q106" s="434"/>
      <c r="R106" s="434"/>
      <c r="S106" s="434"/>
      <c r="T106" s="434"/>
      <c r="U106" s="434"/>
      <c r="V106" s="434"/>
    </row>
    <row r="107">
      <c r="A107" s="504"/>
      <c r="B107" s="505"/>
      <c r="C107" s="506"/>
      <c r="D107" s="507"/>
      <c r="E107" s="508"/>
      <c r="F107" s="509"/>
      <c r="G107" s="510"/>
      <c r="H107" s="507"/>
      <c r="I107" s="508"/>
      <c r="J107" s="434"/>
      <c r="K107" s="434"/>
      <c r="L107" s="434"/>
      <c r="M107" s="434"/>
      <c r="N107" s="434"/>
      <c r="O107" s="434"/>
      <c r="P107" s="434"/>
      <c r="Q107" s="434"/>
      <c r="R107" s="434"/>
      <c r="S107" s="434"/>
      <c r="T107" s="434"/>
      <c r="U107" s="434"/>
      <c r="V107" s="434"/>
    </row>
    <row r="108">
      <c r="A108" s="504"/>
      <c r="B108" s="505"/>
      <c r="C108" s="506"/>
      <c r="D108" s="507"/>
      <c r="E108" s="508"/>
      <c r="F108" s="509"/>
      <c r="G108" s="510"/>
      <c r="H108" s="507"/>
      <c r="I108" s="508"/>
      <c r="J108" s="434"/>
      <c r="K108" s="434"/>
      <c r="L108" s="434"/>
      <c r="M108" s="434"/>
      <c r="N108" s="434"/>
      <c r="O108" s="434"/>
      <c r="P108" s="434"/>
      <c r="Q108" s="434"/>
      <c r="R108" s="434"/>
      <c r="S108" s="434"/>
      <c r="T108" s="434"/>
      <c r="U108" s="434"/>
      <c r="V108" s="434"/>
    </row>
    <row r="109">
      <c r="A109" s="504"/>
      <c r="B109" s="505"/>
      <c r="C109" s="506"/>
      <c r="D109" s="507"/>
      <c r="E109" s="508"/>
      <c r="F109" s="509"/>
      <c r="G109" s="510"/>
      <c r="H109" s="507"/>
      <c r="I109" s="508"/>
      <c r="J109" s="434"/>
      <c r="K109" s="434"/>
      <c r="L109" s="434"/>
      <c r="M109" s="434"/>
      <c r="N109" s="434"/>
      <c r="O109" s="434"/>
      <c r="P109" s="434"/>
      <c r="Q109" s="434"/>
      <c r="R109" s="434"/>
      <c r="S109" s="434"/>
      <c r="T109" s="434"/>
      <c r="U109" s="434"/>
      <c r="V109" s="434"/>
    </row>
    <row r="110">
      <c r="A110" s="504"/>
      <c r="B110" s="505"/>
      <c r="C110" s="506"/>
      <c r="D110" s="507"/>
      <c r="E110" s="508"/>
      <c r="F110" s="509"/>
      <c r="G110" s="510"/>
      <c r="H110" s="507"/>
      <c r="I110" s="508"/>
      <c r="J110" s="434"/>
      <c r="K110" s="434"/>
      <c r="L110" s="434"/>
      <c r="M110" s="434"/>
      <c r="N110" s="434"/>
      <c r="O110" s="434"/>
      <c r="P110" s="434"/>
      <c r="Q110" s="434"/>
      <c r="R110" s="434"/>
      <c r="S110" s="434"/>
      <c r="T110" s="434"/>
      <c r="U110" s="434"/>
      <c r="V110" s="434"/>
    </row>
    <row r="111">
      <c r="A111" s="504"/>
      <c r="B111" s="505"/>
      <c r="C111" s="506"/>
      <c r="D111" s="507"/>
      <c r="E111" s="508"/>
      <c r="F111" s="509"/>
      <c r="G111" s="510"/>
      <c r="H111" s="507"/>
      <c r="I111" s="508"/>
      <c r="J111" s="434"/>
      <c r="K111" s="434"/>
      <c r="L111" s="434"/>
      <c r="M111" s="434"/>
      <c r="N111" s="434"/>
      <c r="O111" s="434"/>
      <c r="P111" s="434"/>
      <c r="Q111" s="434"/>
      <c r="R111" s="434"/>
      <c r="S111" s="434"/>
      <c r="T111" s="434"/>
      <c r="U111" s="434"/>
      <c r="V111" s="434"/>
    </row>
    <row r="112">
      <c r="A112" s="504"/>
      <c r="B112" s="505"/>
      <c r="C112" s="506"/>
      <c r="D112" s="507"/>
      <c r="E112" s="508"/>
      <c r="F112" s="509"/>
      <c r="G112" s="510"/>
      <c r="H112" s="507"/>
      <c r="I112" s="508"/>
      <c r="J112" s="434"/>
      <c r="K112" s="434"/>
      <c r="L112" s="434"/>
      <c r="M112" s="434"/>
      <c r="N112" s="434"/>
      <c r="O112" s="434"/>
      <c r="P112" s="434"/>
      <c r="Q112" s="434"/>
      <c r="R112" s="434"/>
      <c r="S112" s="434"/>
      <c r="T112" s="434"/>
      <c r="U112" s="434"/>
      <c r="V112" s="434"/>
    </row>
    <row r="113">
      <c r="A113" s="504"/>
      <c r="B113" s="505"/>
      <c r="C113" s="506"/>
      <c r="D113" s="507"/>
      <c r="E113" s="508"/>
      <c r="F113" s="509"/>
      <c r="G113" s="510"/>
      <c r="H113" s="507"/>
      <c r="I113" s="508"/>
      <c r="J113" s="434"/>
      <c r="K113" s="434"/>
      <c r="L113" s="434"/>
      <c r="M113" s="434"/>
      <c r="N113" s="434"/>
      <c r="O113" s="434"/>
      <c r="P113" s="434"/>
      <c r="Q113" s="434"/>
      <c r="R113" s="434"/>
      <c r="S113" s="434"/>
      <c r="T113" s="434"/>
      <c r="U113" s="434"/>
      <c r="V113" s="434"/>
    </row>
    <row r="114">
      <c r="A114" s="504"/>
      <c r="B114" s="505"/>
      <c r="C114" s="506"/>
      <c r="D114" s="507"/>
      <c r="E114" s="508"/>
      <c r="F114" s="509"/>
      <c r="G114" s="510"/>
      <c r="H114" s="507"/>
      <c r="I114" s="508"/>
      <c r="J114" s="434"/>
      <c r="K114" s="434"/>
      <c r="L114" s="434"/>
      <c r="M114" s="434"/>
      <c r="N114" s="434"/>
      <c r="O114" s="434"/>
      <c r="P114" s="434"/>
      <c r="Q114" s="434"/>
      <c r="R114" s="434"/>
      <c r="S114" s="434"/>
      <c r="T114" s="434"/>
      <c r="U114" s="434"/>
      <c r="V114" s="434"/>
    </row>
    <row r="115">
      <c r="A115" s="504"/>
      <c r="B115" s="505"/>
      <c r="C115" s="506"/>
      <c r="D115" s="507"/>
      <c r="E115" s="508"/>
      <c r="F115" s="509"/>
      <c r="G115" s="510"/>
      <c r="H115" s="507"/>
      <c r="I115" s="508"/>
      <c r="J115" s="434"/>
      <c r="K115" s="434"/>
      <c r="L115" s="434"/>
      <c r="M115" s="434"/>
      <c r="N115" s="434"/>
      <c r="O115" s="434"/>
      <c r="P115" s="434"/>
      <c r="Q115" s="434"/>
      <c r="R115" s="434"/>
      <c r="S115" s="434"/>
      <c r="T115" s="434"/>
      <c r="U115" s="434"/>
      <c r="V115" s="434"/>
    </row>
    <row r="116">
      <c r="A116" s="504"/>
      <c r="B116" s="505"/>
      <c r="C116" s="506"/>
      <c r="D116" s="507"/>
      <c r="E116" s="508"/>
      <c r="F116" s="509"/>
      <c r="G116" s="510"/>
      <c r="H116" s="507"/>
      <c r="I116" s="508"/>
      <c r="J116" s="434"/>
      <c r="K116" s="434"/>
      <c r="L116" s="434"/>
      <c r="M116" s="434"/>
      <c r="N116" s="434"/>
      <c r="O116" s="434"/>
      <c r="P116" s="434"/>
      <c r="Q116" s="434"/>
      <c r="R116" s="434"/>
      <c r="S116" s="434"/>
      <c r="T116" s="434"/>
      <c r="U116" s="434"/>
      <c r="V116" s="434"/>
    </row>
    <row r="117">
      <c r="A117" s="504"/>
      <c r="B117" s="505"/>
      <c r="C117" s="506"/>
      <c r="D117" s="507"/>
      <c r="E117" s="508"/>
      <c r="F117" s="509"/>
      <c r="G117" s="510"/>
      <c r="H117" s="507"/>
      <c r="I117" s="508"/>
      <c r="J117" s="434"/>
      <c r="K117" s="434"/>
      <c r="L117" s="434"/>
      <c r="M117" s="434"/>
      <c r="N117" s="434"/>
      <c r="O117" s="434"/>
      <c r="P117" s="434"/>
      <c r="Q117" s="434"/>
      <c r="R117" s="434"/>
      <c r="S117" s="434"/>
      <c r="T117" s="434"/>
      <c r="U117" s="434"/>
      <c r="V117" s="434"/>
    </row>
    <row r="118">
      <c r="A118" s="504"/>
      <c r="B118" s="505"/>
      <c r="C118" s="506"/>
      <c r="D118" s="507"/>
      <c r="E118" s="508"/>
      <c r="F118" s="509"/>
      <c r="G118" s="510"/>
      <c r="H118" s="507"/>
      <c r="I118" s="508"/>
      <c r="J118" s="434"/>
      <c r="K118" s="434"/>
      <c r="L118" s="434"/>
      <c r="M118" s="434"/>
      <c r="N118" s="434"/>
      <c r="O118" s="434"/>
      <c r="P118" s="434"/>
      <c r="Q118" s="434"/>
      <c r="R118" s="434"/>
      <c r="S118" s="434"/>
      <c r="T118" s="434"/>
      <c r="U118" s="434"/>
      <c r="V118" s="434"/>
    </row>
    <row r="119">
      <c r="A119" s="504"/>
      <c r="B119" s="505"/>
      <c r="C119" s="506"/>
      <c r="D119" s="507"/>
      <c r="E119" s="508"/>
      <c r="F119" s="509"/>
      <c r="G119" s="510"/>
      <c r="H119" s="507"/>
      <c r="I119" s="508"/>
      <c r="J119" s="434"/>
      <c r="K119" s="434"/>
      <c r="L119" s="434"/>
      <c r="M119" s="434"/>
      <c r="N119" s="434"/>
      <c r="O119" s="434"/>
      <c r="P119" s="434"/>
      <c r="Q119" s="434"/>
      <c r="R119" s="434"/>
      <c r="S119" s="434"/>
      <c r="T119" s="434"/>
      <c r="U119" s="434"/>
      <c r="V119" s="434"/>
    </row>
    <row r="120">
      <c r="A120" s="504"/>
      <c r="B120" s="505"/>
      <c r="C120" s="506"/>
      <c r="D120" s="507"/>
      <c r="E120" s="508"/>
      <c r="F120" s="509"/>
      <c r="G120" s="510"/>
      <c r="H120" s="507"/>
      <c r="I120" s="508"/>
      <c r="J120" s="434"/>
      <c r="K120" s="434"/>
      <c r="L120" s="434"/>
      <c r="M120" s="434"/>
      <c r="N120" s="434"/>
      <c r="O120" s="434"/>
      <c r="P120" s="434"/>
      <c r="Q120" s="434"/>
      <c r="R120" s="434"/>
      <c r="S120" s="434"/>
      <c r="T120" s="434"/>
      <c r="U120" s="434"/>
      <c r="V120" s="434"/>
    </row>
    <row r="121">
      <c r="A121" s="504"/>
      <c r="B121" s="505"/>
      <c r="C121" s="506"/>
      <c r="D121" s="507"/>
      <c r="E121" s="508"/>
      <c r="F121" s="509"/>
      <c r="G121" s="510"/>
      <c r="H121" s="507"/>
      <c r="I121" s="508"/>
      <c r="J121" s="434"/>
      <c r="K121" s="434"/>
      <c r="L121" s="434"/>
      <c r="M121" s="434"/>
      <c r="N121" s="434"/>
      <c r="O121" s="434"/>
      <c r="P121" s="434"/>
      <c r="Q121" s="434"/>
      <c r="R121" s="434"/>
      <c r="S121" s="434"/>
      <c r="T121" s="434"/>
      <c r="U121" s="434"/>
      <c r="V121" s="434"/>
    </row>
    <row r="122">
      <c r="A122" s="504"/>
      <c r="B122" s="505"/>
      <c r="C122" s="506"/>
      <c r="D122" s="507"/>
      <c r="E122" s="508"/>
      <c r="F122" s="509"/>
      <c r="G122" s="510"/>
      <c r="H122" s="507"/>
      <c r="I122" s="508"/>
      <c r="J122" s="434"/>
      <c r="K122" s="434"/>
      <c r="L122" s="434"/>
      <c r="M122" s="434"/>
      <c r="N122" s="434"/>
      <c r="O122" s="434"/>
      <c r="P122" s="434"/>
      <c r="Q122" s="434"/>
      <c r="R122" s="434"/>
      <c r="S122" s="434"/>
      <c r="T122" s="434"/>
      <c r="U122" s="434"/>
      <c r="V122" s="434"/>
    </row>
    <row r="123">
      <c r="A123" s="504"/>
      <c r="B123" s="505"/>
      <c r="C123" s="506"/>
      <c r="D123" s="507"/>
      <c r="E123" s="508"/>
      <c r="F123" s="509"/>
      <c r="G123" s="510"/>
      <c r="H123" s="507"/>
      <c r="I123" s="508"/>
      <c r="J123" s="434"/>
      <c r="K123" s="434"/>
      <c r="L123" s="434"/>
      <c r="M123" s="434"/>
      <c r="N123" s="434"/>
      <c r="O123" s="434"/>
      <c r="P123" s="434"/>
      <c r="Q123" s="434"/>
      <c r="R123" s="434"/>
      <c r="S123" s="434"/>
      <c r="T123" s="434"/>
      <c r="U123" s="434"/>
      <c r="V123" s="434"/>
    </row>
  </sheetData>
  <mergeCells count="9">
    <mergeCell ref="C20:D20"/>
    <mergeCell ref="C22:D22"/>
    <mergeCell ref="H2:H13"/>
    <mergeCell ref="I15:K15"/>
    <mergeCell ref="C16:D16"/>
    <mergeCell ref="C17:D17"/>
    <mergeCell ref="J17:K17"/>
    <mergeCell ref="C18:D18"/>
    <mergeCell ref="C19:D19"/>
  </mergeCells>
  <conditionalFormatting sqref="F2:F13">
    <cfRule type="cellIs" dxfId="6" priority="1" operator="greaterThanOrEqual">
      <formula>0</formula>
    </cfRule>
  </conditionalFormatting>
  <conditionalFormatting sqref="F2:F13">
    <cfRule type="cellIs" dxfId="7" priority="2" operator="lessThanOrEqual">
      <formula>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1.0"/>
    <col customWidth="1" min="3" max="3" width="7.5"/>
    <col customWidth="1" min="4" max="4" width="5.63"/>
    <col customWidth="1" min="5" max="5" width="13.75"/>
    <col customWidth="1" min="6" max="6" width="5.38"/>
    <col customWidth="1" min="8" max="8" width="14.25"/>
    <col customWidth="1" min="9" max="9" width="7.38"/>
    <col customWidth="1" min="10" max="10" width="5.63"/>
    <col customWidth="1" min="11" max="11" width="9.75"/>
    <col customWidth="1" min="12" max="12" width="6.63"/>
  </cols>
  <sheetData>
    <row r="2">
      <c r="B2" s="537"/>
      <c r="C2" s="538" t="s">
        <v>175</v>
      </c>
      <c r="D2" s="539"/>
    </row>
    <row r="3">
      <c r="B3" s="540"/>
      <c r="C3" s="541" t="s">
        <v>176</v>
      </c>
      <c r="D3" s="542"/>
    </row>
    <row r="4">
      <c r="E4" s="433"/>
    </row>
    <row r="5">
      <c r="B5" s="543" t="s">
        <v>177</v>
      </c>
      <c r="C5" s="544"/>
      <c r="D5" s="544"/>
      <c r="E5" s="544"/>
      <c r="F5" s="545"/>
      <c r="G5" s="546"/>
      <c r="H5" s="547" t="s">
        <v>178</v>
      </c>
      <c r="I5" s="544"/>
      <c r="J5" s="544"/>
      <c r="K5" s="544"/>
      <c r="L5" s="545"/>
    </row>
    <row r="6">
      <c r="B6" s="548" t="s">
        <v>179</v>
      </c>
      <c r="C6" s="549">
        <v>1000000.0</v>
      </c>
      <c r="D6" s="550" t="s">
        <v>180</v>
      </c>
      <c r="E6" s="551" t="s">
        <v>181</v>
      </c>
      <c r="F6" s="552">
        <v>0.005</v>
      </c>
      <c r="G6" s="553"/>
      <c r="H6" s="548" t="s">
        <v>179</v>
      </c>
      <c r="I6" s="549">
        <v>1000000.0</v>
      </c>
      <c r="J6" s="550" t="s">
        <v>180</v>
      </c>
      <c r="K6" s="551" t="s">
        <v>21</v>
      </c>
      <c r="L6" s="552">
        <v>0.1</v>
      </c>
    </row>
    <row r="7">
      <c r="B7" s="548" t="s">
        <v>182</v>
      </c>
      <c r="C7" s="549">
        <v>342.0</v>
      </c>
      <c r="D7" s="553"/>
      <c r="E7" s="553"/>
      <c r="F7" s="554"/>
      <c r="G7" s="553"/>
      <c r="H7" s="548" t="s">
        <v>182</v>
      </c>
      <c r="I7" s="549">
        <v>342.0</v>
      </c>
      <c r="J7" s="553"/>
      <c r="K7" s="553"/>
      <c r="L7" s="554"/>
    </row>
    <row r="8">
      <c r="B8" s="548" t="s">
        <v>7</v>
      </c>
      <c r="C8" s="549">
        <v>335.0</v>
      </c>
      <c r="D8" s="555">
        <f>IFERROR((C7-C8)/C7, "")</f>
        <v>0.02046783626</v>
      </c>
      <c r="E8" s="556">
        <f>(C7-C8)*C9</f>
        <v>5000</v>
      </c>
      <c r="F8" s="554"/>
      <c r="G8" s="553"/>
      <c r="H8" s="548" t="s">
        <v>7</v>
      </c>
      <c r="I8" s="549">
        <v>335.0</v>
      </c>
      <c r="J8" s="555">
        <f>IFERROR((I7-I8)/I7, "")</f>
        <v>0.02046783626</v>
      </c>
      <c r="K8" s="556">
        <f>IFERROR((I7-I8)*I9, "")</f>
        <v>2046.783626</v>
      </c>
      <c r="L8" s="554"/>
    </row>
    <row r="9">
      <c r="B9" s="548" t="s">
        <v>183</v>
      </c>
      <c r="C9" s="557">
        <f>IFERROR((C6*F6)/(C7-C8), "")</f>
        <v>714.2857143</v>
      </c>
      <c r="D9" s="553"/>
      <c r="E9" s="553"/>
      <c r="F9" s="554"/>
      <c r="G9" s="553"/>
      <c r="H9" s="548" t="s">
        <v>183</v>
      </c>
      <c r="I9" s="557">
        <f>IFERROR((I6*L6)/I7,"")</f>
        <v>292.3976608</v>
      </c>
      <c r="J9" s="553"/>
      <c r="K9" s="553"/>
      <c r="L9" s="554"/>
    </row>
    <row r="10">
      <c r="B10" s="558" t="s">
        <v>21</v>
      </c>
      <c r="C10" s="559">
        <f>IFERROR(C9*C7/C6, "")</f>
        <v>0.2442857143</v>
      </c>
      <c r="D10" s="560"/>
      <c r="E10" s="560"/>
      <c r="F10" s="561"/>
      <c r="G10" s="553"/>
      <c r="H10" s="558" t="s">
        <v>181</v>
      </c>
      <c r="I10" s="559">
        <f>(I7-I8)*I9/I6</f>
        <v>0.002046783626</v>
      </c>
      <c r="J10" s="560"/>
      <c r="K10" s="560"/>
      <c r="L10" s="561"/>
    </row>
  </sheetData>
  <mergeCells count="4">
    <mergeCell ref="C2:D2"/>
    <mergeCell ref="C3:D3"/>
    <mergeCell ref="B5:F5"/>
    <mergeCell ref="H5:L5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2" width="16.88"/>
    <col customWidth="1" min="3" max="3" width="17.25"/>
    <col customWidth="1" min="4" max="4" width="13.25"/>
  </cols>
  <sheetData>
    <row r="1">
      <c r="A1" s="562" t="s">
        <v>11</v>
      </c>
      <c r="B1" s="562" t="s">
        <v>44</v>
      </c>
      <c r="C1" s="562" t="s">
        <v>45</v>
      </c>
      <c r="D1" s="563" t="s">
        <v>43</v>
      </c>
    </row>
    <row r="2">
      <c r="A2" s="564" t="s">
        <v>79</v>
      </c>
      <c r="B2" s="564" t="s">
        <v>184</v>
      </c>
      <c r="C2" s="564" t="s">
        <v>185</v>
      </c>
      <c r="D2" s="564" t="s">
        <v>93</v>
      </c>
    </row>
    <row r="3">
      <c r="A3" s="564" t="s">
        <v>84</v>
      </c>
      <c r="B3" s="564" t="s">
        <v>55</v>
      </c>
      <c r="C3" s="564" t="s">
        <v>186</v>
      </c>
      <c r="D3" s="564" t="s">
        <v>54</v>
      </c>
    </row>
    <row r="4">
      <c r="A4" s="564" t="s">
        <v>68</v>
      </c>
      <c r="B4" s="564" t="s">
        <v>60</v>
      </c>
      <c r="C4" s="564" t="s">
        <v>187</v>
      </c>
      <c r="D4" s="564" t="s">
        <v>188</v>
      </c>
    </row>
    <row r="5">
      <c r="A5" s="564" t="s">
        <v>81</v>
      </c>
      <c r="B5" s="564" t="s">
        <v>189</v>
      </c>
      <c r="C5" s="564" t="s">
        <v>73</v>
      </c>
      <c r="D5" s="564" t="s">
        <v>104</v>
      </c>
    </row>
    <row r="6">
      <c r="A6" s="564" t="s">
        <v>77</v>
      </c>
      <c r="B6" s="564" t="s">
        <v>65</v>
      </c>
      <c r="C6" s="564" t="s">
        <v>82</v>
      </c>
      <c r="D6" s="564" t="s">
        <v>190</v>
      </c>
    </row>
    <row r="7">
      <c r="A7" s="564" t="s">
        <v>63</v>
      </c>
      <c r="B7" s="564" t="s">
        <v>51</v>
      </c>
      <c r="C7" s="564" t="s">
        <v>191</v>
      </c>
      <c r="D7" s="564" t="s">
        <v>110</v>
      </c>
    </row>
    <row r="8">
      <c r="A8" s="564" t="s">
        <v>57</v>
      </c>
      <c r="B8" s="564" t="s">
        <v>99</v>
      </c>
      <c r="C8" s="564" t="s">
        <v>69</v>
      </c>
      <c r="D8" s="564" t="s">
        <v>7</v>
      </c>
    </row>
    <row r="9">
      <c r="A9" s="564" t="s">
        <v>192</v>
      </c>
      <c r="B9" s="564" t="s">
        <v>60</v>
      </c>
      <c r="C9" s="564" t="s">
        <v>75</v>
      </c>
      <c r="D9" s="564" t="s">
        <v>101</v>
      </c>
    </row>
    <row r="10">
      <c r="A10" s="564" t="s">
        <v>92</v>
      </c>
      <c r="C10" s="564" t="s">
        <v>52</v>
      </c>
      <c r="D10" s="564" t="s">
        <v>193</v>
      </c>
    </row>
    <row r="11">
      <c r="A11" s="564" t="s">
        <v>49</v>
      </c>
      <c r="B11" s="564"/>
      <c r="C11" s="564" t="s">
        <v>194</v>
      </c>
      <c r="D11" s="564" t="s">
        <v>98</v>
      </c>
    </row>
    <row r="12">
      <c r="B12" s="564"/>
      <c r="C12" s="564" t="s">
        <v>195</v>
      </c>
      <c r="D12" s="564" t="s">
        <v>121</v>
      </c>
    </row>
    <row r="13">
      <c r="B13" s="564"/>
      <c r="C13" s="564" t="s">
        <v>90</v>
      </c>
      <c r="D13" s="564" t="s">
        <v>59</v>
      </c>
    </row>
    <row r="14">
      <c r="C14" s="564" t="s">
        <v>196</v>
      </c>
    </row>
    <row r="15">
      <c r="C15" s="564" t="s">
        <v>61</v>
      </c>
    </row>
    <row r="16">
      <c r="C16" s="564" t="s">
        <v>197</v>
      </c>
    </row>
    <row r="17">
      <c r="C17" s="564" t="s">
        <v>198</v>
      </c>
    </row>
    <row r="18">
      <c r="C18" s="564" t="s">
        <v>199</v>
      </c>
    </row>
    <row r="19">
      <c r="C19" s="564" t="s">
        <v>66</v>
      </c>
    </row>
    <row r="20">
      <c r="C20" s="564" t="s">
        <v>200</v>
      </c>
    </row>
    <row r="21">
      <c r="C21" s="564" t="s">
        <v>196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88"/>
    <col customWidth="1" min="2" max="2" width="7.75"/>
  </cols>
  <sheetData>
    <row r="1">
      <c r="A1" s="434"/>
      <c r="B1" s="434"/>
      <c r="C1" s="434"/>
      <c r="D1" s="434"/>
      <c r="E1" s="434"/>
      <c r="F1" s="434"/>
      <c r="G1" s="434"/>
      <c r="H1" s="434"/>
      <c r="I1" s="434"/>
    </row>
    <row r="2">
      <c r="A2" s="435"/>
      <c r="B2" s="435"/>
      <c r="C2" s="435"/>
      <c r="D2" s="435"/>
      <c r="E2" s="435"/>
      <c r="F2" s="435"/>
      <c r="G2" s="435"/>
      <c r="H2" s="435"/>
      <c r="I2" s="435"/>
    </row>
    <row r="3">
      <c r="A3" s="480" t="s">
        <v>201</v>
      </c>
    </row>
    <row r="4">
      <c r="A4" s="565"/>
      <c r="B4" s="565"/>
      <c r="C4" s="435"/>
      <c r="D4" s="435"/>
      <c r="E4" s="435"/>
      <c r="F4" s="435"/>
      <c r="G4" s="435"/>
      <c r="H4" s="435"/>
      <c r="I4" s="435"/>
    </row>
    <row r="5">
      <c r="A5" s="566">
        <v>1.0</v>
      </c>
      <c r="B5" s="567" t="s">
        <v>202</v>
      </c>
    </row>
    <row r="6">
      <c r="A6" s="566"/>
      <c r="B6" s="568"/>
      <c r="C6" s="112"/>
      <c r="D6" s="112"/>
      <c r="E6" s="112"/>
      <c r="F6" s="112"/>
      <c r="G6" s="112"/>
      <c r="H6" s="112"/>
      <c r="I6" s="112"/>
    </row>
    <row r="7">
      <c r="A7" s="566">
        <v>2.0</v>
      </c>
      <c r="B7" s="567" t="s">
        <v>203</v>
      </c>
      <c r="C7" s="112"/>
      <c r="D7" s="112"/>
      <c r="E7" s="112"/>
      <c r="F7" s="112"/>
      <c r="G7" s="112"/>
      <c r="H7" s="112"/>
      <c r="I7" s="112"/>
    </row>
    <row r="8">
      <c r="A8" s="566"/>
      <c r="B8" s="435"/>
      <c r="C8" s="435"/>
      <c r="D8" s="435"/>
      <c r="E8" s="435"/>
      <c r="F8" s="435"/>
      <c r="G8" s="435"/>
      <c r="H8" s="435"/>
      <c r="I8" s="435"/>
    </row>
    <row r="9">
      <c r="A9" s="566">
        <v>3.0</v>
      </c>
      <c r="B9" s="435" t="s">
        <v>204</v>
      </c>
    </row>
    <row r="10">
      <c r="A10" s="566"/>
      <c r="B10" s="435"/>
      <c r="C10" s="435"/>
      <c r="D10" s="435"/>
      <c r="E10" s="435"/>
      <c r="F10" s="435"/>
      <c r="G10" s="435"/>
      <c r="H10" s="435"/>
      <c r="I10" s="435"/>
    </row>
    <row r="11">
      <c r="A11" s="566">
        <v>4.0</v>
      </c>
      <c r="B11" s="435" t="s">
        <v>205</v>
      </c>
    </row>
    <row r="12">
      <c r="A12" s="566"/>
      <c r="B12" s="435"/>
      <c r="C12" s="435"/>
      <c r="D12" s="435"/>
      <c r="E12" s="435"/>
      <c r="F12" s="435"/>
      <c r="G12" s="435"/>
      <c r="H12" s="435"/>
      <c r="I12" s="435"/>
    </row>
    <row r="13">
      <c r="A13" s="566">
        <v>5.0</v>
      </c>
      <c r="B13" s="435" t="s">
        <v>206</v>
      </c>
    </row>
    <row r="14">
      <c r="A14" s="566"/>
      <c r="B14" s="435"/>
      <c r="C14" s="435"/>
      <c r="D14" s="435"/>
      <c r="E14" s="435"/>
      <c r="F14" s="435"/>
      <c r="G14" s="435"/>
      <c r="H14" s="435"/>
      <c r="I14" s="435"/>
    </row>
    <row r="15">
      <c r="A15" s="566">
        <v>6.0</v>
      </c>
      <c r="B15" s="435" t="s">
        <v>207</v>
      </c>
    </row>
    <row r="16">
      <c r="A16" s="566"/>
      <c r="B16" s="435"/>
      <c r="C16" s="435"/>
      <c r="D16" s="435"/>
      <c r="E16" s="435"/>
      <c r="F16" s="435"/>
      <c r="G16" s="435"/>
      <c r="H16" s="435"/>
      <c r="I16" s="435"/>
    </row>
    <row r="17">
      <c r="A17" s="566">
        <v>7.0</v>
      </c>
      <c r="B17" s="435" t="s">
        <v>208</v>
      </c>
    </row>
    <row r="18">
      <c r="A18" s="566"/>
      <c r="B18" s="435"/>
      <c r="C18" s="435"/>
      <c r="D18" s="435"/>
      <c r="E18" s="435"/>
      <c r="F18" s="435"/>
      <c r="G18" s="435"/>
      <c r="H18" s="435"/>
      <c r="I18" s="435"/>
    </row>
    <row r="19">
      <c r="A19" s="566">
        <v>8.0</v>
      </c>
      <c r="B19" s="435" t="s">
        <v>209</v>
      </c>
    </row>
    <row r="20">
      <c r="A20" s="566"/>
      <c r="B20" s="435"/>
      <c r="C20" s="434"/>
      <c r="D20" s="434"/>
      <c r="E20" s="434"/>
      <c r="F20" s="434"/>
      <c r="G20" s="434"/>
      <c r="H20" s="434"/>
      <c r="I20" s="434"/>
    </row>
    <row r="21">
      <c r="A21" s="566">
        <v>9.0</v>
      </c>
      <c r="B21" s="435" t="s">
        <v>210</v>
      </c>
    </row>
    <row r="22">
      <c r="A22" s="566"/>
      <c r="B22" s="435"/>
      <c r="C22" s="434"/>
      <c r="D22" s="434"/>
      <c r="E22" s="434"/>
      <c r="F22" s="434"/>
      <c r="G22" s="434"/>
      <c r="H22" s="434"/>
      <c r="I22" s="434"/>
    </row>
    <row r="23">
      <c r="A23" s="566">
        <v>10.0</v>
      </c>
      <c r="B23" s="435" t="s">
        <v>211</v>
      </c>
    </row>
    <row r="24">
      <c r="A24" s="566"/>
      <c r="B24" s="435"/>
      <c r="C24" s="434"/>
      <c r="D24" s="434"/>
      <c r="E24" s="434"/>
      <c r="F24" s="434"/>
      <c r="G24" s="434"/>
      <c r="H24" s="434"/>
      <c r="I24" s="434"/>
    </row>
    <row r="25">
      <c r="A25" s="566">
        <v>11.0</v>
      </c>
      <c r="B25" s="435" t="s">
        <v>212</v>
      </c>
    </row>
    <row r="26">
      <c r="A26" s="569"/>
      <c r="B26" s="434"/>
      <c r="C26" s="434"/>
      <c r="D26" s="434"/>
      <c r="E26" s="434"/>
      <c r="F26" s="434"/>
      <c r="G26" s="434"/>
      <c r="H26" s="434"/>
      <c r="I26" s="434"/>
    </row>
  </sheetData>
  <mergeCells count="11">
    <mergeCell ref="B19:I19"/>
    <mergeCell ref="B21:I21"/>
    <mergeCell ref="B23:I23"/>
    <mergeCell ref="B25:I25"/>
    <mergeCell ref="A3:I3"/>
    <mergeCell ref="B5:I5"/>
    <mergeCell ref="B9:I9"/>
    <mergeCell ref="B11:I11"/>
    <mergeCell ref="B13:I13"/>
    <mergeCell ref="B15:I15"/>
    <mergeCell ref="B17:I17"/>
  </mergeCells>
  <drawing r:id="rId1"/>
</worksheet>
</file>